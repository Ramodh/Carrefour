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360" yWindow="300" windowWidth="14955" windowHeight="7170" firstSheet="2" activeTab="3"/>
  </bookViews>
  <sheets>
    <sheet name="Effort -backup" sheetId="13" state="hidden" r:id="rId1"/>
    <sheet name="ResLoad-wrk" sheetId="10" state="hidden" r:id="rId2"/>
    <sheet name="Effort-Phase 1" sheetId="15" r:id="rId3"/>
    <sheet name="ResourceLoading-Phase1" sheetId="16" r:id="rId4"/>
    <sheet name="Additional costs" sheetId="4" r:id="rId5"/>
  </sheets>
  <calcPr calcId="114210"/>
</workbook>
</file>

<file path=xl/calcChain.xml><?xml version="1.0" encoding="utf-8"?>
<calcChain xmlns="http://schemas.openxmlformats.org/spreadsheetml/2006/main">
  <c r="F36" i="15"/>
  <c r="F39"/>
  <c r="G16"/>
  <c r="G22"/>
  <c r="G27"/>
  <c r="G30"/>
  <c r="G36"/>
  <c r="G39"/>
  <c r="H16"/>
  <c r="H22"/>
  <c r="H27"/>
  <c r="H36"/>
  <c r="H39"/>
  <c r="F42"/>
  <c r="F44"/>
  <c r="H14"/>
  <c r="H15"/>
  <c r="H19"/>
  <c r="H21"/>
  <c r="H24"/>
  <c r="H26"/>
  <c r="H33"/>
  <c r="G14"/>
  <c r="G15"/>
  <c r="G17"/>
  <c r="G19"/>
  <c r="G20"/>
  <c r="G21"/>
  <c r="G24"/>
  <c r="G25"/>
  <c r="G26"/>
  <c r="G28"/>
  <c r="G31"/>
  <c r="G33"/>
  <c r="G34"/>
  <c r="F14" i="16"/>
  <c r="F12"/>
  <c r="F11"/>
  <c r="F10"/>
  <c r="F9"/>
  <c r="F8"/>
  <c r="J7"/>
  <c r="F7"/>
  <c r="J9"/>
  <c r="F6"/>
  <c r="F15"/>
  <c r="H62" i="13"/>
  <c r="G62"/>
  <c r="H61"/>
  <c r="G61"/>
  <c r="F52"/>
  <c r="F55"/>
  <c r="E52"/>
  <c r="E55"/>
  <c r="E58"/>
  <c r="E59"/>
  <c r="H47"/>
  <c r="G47"/>
  <c r="G41"/>
  <c r="H39"/>
  <c r="G39"/>
  <c r="H38"/>
  <c r="G38"/>
  <c r="H37"/>
  <c r="G37"/>
  <c r="G33"/>
  <c r="H33"/>
  <c r="G30"/>
  <c r="H30"/>
  <c r="G29"/>
  <c r="H29"/>
  <c r="H52"/>
  <c r="H27"/>
  <c r="G27"/>
  <c r="G25"/>
  <c r="G24"/>
  <c r="H22"/>
  <c r="G22"/>
  <c r="H21"/>
  <c r="G21"/>
  <c r="H20"/>
  <c r="G20"/>
  <c r="H19"/>
  <c r="G19"/>
  <c r="H18"/>
  <c r="G18"/>
  <c r="H17"/>
  <c r="G17"/>
  <c r="H16"/>
  <c r="G16"/>
  <c r="G12"/>
  <c r="H10"/>
  <c r="G10"/>
  <c r="G52"/>
  <c r="G59"/>
  <c r="J8" i="16"/>
  <c r="G58" i="13"/>
  <c r="F58"/>
  <c r="F59"/>
  <c r="T65" i="10"/>
  <c r="T66"/>
  <c r="T67"/>
  <c r="T68"/>
  <c r="T69"/>
  <c r="T70"/>
  <c r="T71"/>
  <c r="T72"/>
  <c r="T73"/>
  <c r="T74"/>
  <c r="T75"/>
  <c r="T76"/>
  <c r="T77"/>
  <c r="T78"/>
  <c r="T79"/>
  <c r="T80"/>
  <c r="T81"/>
  <c r="T82"/>
  <c r="T83"/>
  <c r="T84"/>
  <c r="T85"/>
  <c r="T64"/>
  <c r="AD60"/>
  <c r="AE60"/>
  <c r="AF60"/>
  <c r="AG60"/>
  <c r="AC60"/>
  <c r="U55"/>
  <c r="V55"/>
  <c r="W55"/>
  <c r="X55"/>
  <c r="T55"/>
  <c r="U51"/>
  <c r="V51"/>
  <c r="W51"/>
  <c r="X51"/>
  <c r="T51"/>
  <c r="AG58"/>
  <c r="U54"/>
  <c r="V54"/>
  <c r="W54"/>
  <c r="X54"/>
  <c r="T54"/>
  <c r="U53"/>
  <c r="V53"/>
  <c r="W53"/>
  <c r="X53"/>
  <c r="T53"/>
  <c r="U52"/>
  <c r="V52"/>
  <c r="W52"/>
  <c r="X52"/>
  <c r="T52"/>
  <c r="U50"/>
  <c r="V50"/>
  <c r="W50"/>
  <c r="X50"/>
  <c r="T50"/>
  <c r="X58"/>
  <c r="F29"/>
  <c r="G29"/>
  <c r="H29"/>
  <c r="I29"/>
  <c r="F30"/>
  <c r="G30"/>
  <c r="H30"/>
  <c r="I30"/>
  <c r="F31"/>
  <c r="G31"/>
  <c r="H31"/>
  <c r="I31"/>
  <c r="F32"/>
  <c r="G32"/>
  <c r="H32"/>
  <c r="I32"/>
  <c r="F33"/>
  <c r="G33"/>
  <c r="H33"/>
  <c r="I33"/>
  <c r="F34"/>
  <c r="G34"/>
  <c r="H34"/>
  <c r="I34"/>
  <c r="F35"/>
  <c r="G35"/>
  <c r="H35"/>
  <c r="I35"/>
  <c r="F36"/>
  <c r="G36"/>
  <c r="H36"/>
  <c r="I36"/>
  <c r="F37"/>
  <c r="G37"/>
  <c r="H37"/>
  <c r="I37"/>
  <c r="F38"/>
  <c r="G38"/>
  <c r="H38"/>
  <c r="I38"/>
  <c r="F39"/>
  <c r="G39"/>
  <c r="H39"/>
  <c r="I39"/>
  <c r="F40"/>
  <c r="G40"/>
  <c r="H40"/>
  <c r="I40"/>
  <c r="F41"/>
  <c r="G41"/>
  <c r="H41"/>
  <c r="I41"/>
  <c r="F42"/>
  <c r="G42"/>
  <c r="H42"/>
  <c r="I42"/>
  <c r="F43"/>
  <c r="G43"/>
  <c r="H43"/>
  <c r="I43"/>
  <c r="F44"/>
  <c r="G44"/>
  <c r="H44"/>
  <c r="I44"/>
  <c r="E30"/>
  <c r="E31"/>
  <c r="E32"/>
  <c r="E33"/>
  <c r="E34"/>
  <c r="E35"/>
  <c r="E36"/>
  <c r="E37"/>
  <c r="E38"/>
  <c r="E39"/>
  <c r="E40"/>
  <c r="E41"/>
  <c r="E42"/>
  <c r="E43"/>
  <c r="E44"/>
  <c r="E29"/>
  <c r="H55" i="13"/>
  <c r="H58"/>
  <c r="F57"/>
  <c r="E57"/>
  <c r="G55"/>
  <c r="G57"/>
  <c r="E68"/>
  <c r="E67"/>
  <c r="E64"/>
  <c r="E76"/>
  <c r="E77"/>
  <c r="F49" i="15"/>
  <c r="F50"/>
  <c r="E78" i="13"/>
  <c r="F51" i="15"/>
  <c r="G1"/>
  <c r="E79" i="13"/>
  <c r="G2"/>
  <c r="G1"/>
  <c r="F52" i="15"/>
  <c r="G2"/>
</calcChain>
</file>

<file path=xl/comments1.xml><?xml version="1.0" encoding="utf-8"?>
<comments xmlns="http://schemas.openxmlformats.org/spreadsheetml/2006/main">
  <authors>
    <author>Author</author>
  </authors>
  <commentList>
    <comment ref="F1" authorId="0">
      <text>
        <r>
          <rPr>
            <b/>
            <sz val="9"/>
            <color indexed="81"/>
            <rFont val="Tahoma"/>
            <family val="2"/>
          </rPr>
          <t>Offshore rate applies</t>
        </r>
      </text>
    </comment>
  </commentList>
</comments>
</file>

<file path=xl/sharedStrings.xml><?xml version="1.0" encoding="utf-8"?>
<sst xmlns="http://schemas.openxmlformats.org/spreadsheetml/2006/main" count="323" uniqueCount="195">
  <si>
    <t>person month</t>
  </si>
  <si>
    <t>Comments</t>
  </si>
  <si>
    <t xml:space="preserve">Features </t>
  </si>
  <si>
    <t>person days</t>
  </si>
  <si>
    <t>Grand total - effort</t>
  </si>
  <si>
    <t>Contingency</t>
  </si>
  <si>
    <t>Project Management</t>
  </si>
  <si>
    <t>Total effort</t>
  </si>
  <si>
    <t>UI Design</t>
  </si>
  <si>
    <t>Dev</t>
  </si>
  <si>
    <t>Testing</t>
  </si>
  <si>
    <t>UT</t>
  </si>
  <si>
    <t>UAT (2 weeks)</t>
  </si>
  <si>
    <t>Assumptions</t>
  </si>
  <si>
    <t>PM</t>
  </si>
  <si>
    <t>Mar</t>
  </si>
  <si>
    <t>Apr</t>
  </si>
  <si>
    <t>May</t>
  </si>
  <si>
    <t xml:space="preserve">Estimate </t>
  </si>
  <si>
    <t>Req validation</t>
  </si>
  <si>
    <t>B1</t>
  </si>
  <si>
    <t>B2</t>
  </si>
  <si>
    <t>B3</t>
  </si>
  <si>
    <t>C1</t>
  </si>
  <si>
    <t>C2</t>
  </si>
  <si>
    <t>BC1</t>
  </si>
  <si>
    <t>BB1</t>
  </si>
  <si>
    <t>B4</t>
  </si>
  <si>
    <t>B5</t>
  </si>
  <si>
    <t>B6</t>
  </si>
  <si>
    <t>C3</t>
  </si>
  <si>
    <t>C4</t>
  </si>
  <si>
    <t>B7</t>
  </si>
  <si>
    <t>B8</t>
  </si>
  <si>
    <t>C5</t>
  </si>
  <si>
    <t>C6</t>
  </si>
  <si>
    <t>Jun</t>
  </si>
  <si>
    <t>Jul</t>
  </si>
  <si>
    <t>iOS Dev</t>
  </si>
  <si>
    <t>Tester</t>
  </si>
  <si>
    <t>B1-B6</t>
  </si>
  <si>
    <t>iOS Sr. Dev</t>
  </si>
  <si>
    <t>Sr. Tester</t>
  </si>
  <si>
    <t>B/e Dev</t>
  </si>
  <si>
    <t>B/e Sr. Dev</t>
  </si>
  <si>
    <t>B7-8</t>
  </si>
  <si>
    <t>C1-C3, 5,6</t>
  </si>
  <si>
    <t>UX Dev</t>
  </si>
  <si>
    <t>Rolled up</t>
  </si>
  <si>
    <t>C1-C2, 5,6</t>
  </si>
  <si>
    <t>BC1, C3</t>
  </si>
  <si>
    <t>Go-Live support ( 2 weeks) -offshore</t>
  </si>
  <si>
    <t>Traveling costs (to be included)</t>
  </si>
  <si>
    <t>M1</t>
  </si>
  <si>
    <t>Week1</t>
  </si>
  <si>
    <t>Week2</t>
  </si>
  <si>
    <t>Week3</t>
  </si>
  <si>
    <t>Week4</t>
  </si>
  <si>
    <t>Week5</t>
  </si>
  <si>
    <t>Week6</t>
  </si>
  <si>
    <t>Week7</t>
  </si>
  <si>
    <t>Week8</t>
  </si>
  <si>
    <t>Week9</t>
  </si>
  <si>
    <t>Week10</t>
  </si>
  <si>
    <t>Week11</t>
  </si>
  <si>
    <t>Week12</t>
  </si>
  <si>
    <t>Week13</t>
  </si>
  <si>
    <t>Week14</t>
  </si>
  <si>
    <t>Week15</t>
  </si>
  <si>
    <t>Week16</t>
  </si>
  <si>
    <t>Week17</t>
  </si>
  <si>
    <t>Week18</t>
  </si>
  <si>
    <t>Week19</t>
  </si>
  <si>
    <t>Week20</t>
  </si>
  <si>
    <t>Week21</t>
  </si>
  <si>
    <t>Week22</t>
  </si>
  <si>
    <t>Week23</t>
  </si>
  <si>
    <t>BA</t>
  </si>
  <si>
    <t>Architect</t>
  </si>
  <si>
    <t>App Store:  support for issues(2 weeks)</t>
  </si>
  <si>
    <t xml:space="preserve">App Arch &amp; BE integration Design </t>
  </si>
  <si>
    <t>Maps with cabs around user</t>
  </si>
  <si>
    <t>Book Now</t>
  </si>
  <si>
    <t>Maps with allocated cab's location</t>
  </si>
  <si>
    <t xml:space="preserve">Current booking </t>
  </si>
  <si>
    <t>Sharing on FB</t>
  </si>
  <si>
    <t>Sharing on TWT</t>
  </si>
  <si>
    <t>Finding the shortest  route from cab to current location</t>
  </si>
  <si>
    <t>Booking Status</t>
  </si>
  <si>
    <t>Book Later</t>
  </si>
  <si>
    <t>Home</t>
  </si>
  <si>
    <t>List</t>
  </si>
  <si>
    <t xml:space="preserve">Detail view </t>
  </si>
  <si>
    <t>Book</t>
  </si>
  <si>
    <t>Favorite trips  ( for Book later trips)</t>
  </si>
  <si>
    <t>Redirect to Mobile website</t>
  </si>
  <si>
    <t>Booking outstation cab</t>
  </si>
  <si>
    <t>Booking local cab</t>
  </si>
  <si>
    <t>Booking self driven cab</t>
  </si>
  <si>
    <t>Booking international cab</t>
  </si>
  <si>
    <t>4.2.1</t>
  </si>
  <si>
    <t>4.2.2</t>
  </si>
  <si>
    <t>4.3.1</t>
  </si>
  <si>
    <t>#</t>
  </si>
  <si>
    <t>Onsite</t>
  </si>
  <si>
    <t>Web services Validation &amp; Integration</t>
  </si>
  <si>
    <t>iPhone</t>
  </si>
  <si>
    <t>iPad</t>
  </si>
  <si>
    <t>Android Phone</t>
  </si>
  <si>
    <t>Android Tablets</t>
  </si>
  <si>
    <t xml:space="preserve"> Web services development effort are not  included; They expected to be provided by CarzonRent</t>
  </si>
  <si>
    <t>Apple's Dev subscription  is to be subscribed by CarzonRent</t>
  </si>
  <si>
    <t>Icons &amp; Images will be provided by CarzonRent</t>
  </si>
  <si>
    <t>APNS setup</t>
  </si>
  <si>
    <t>GCM setup</t>
  </si>
  <si>
    <t>?</t>
  </si>
  <si>
    <t>create a booking based on a previous booking</t>
  </si>
  <si>
    <t>Book History? (auto sort on location / timeline)</t>
  </si>
  <si>
    <t>4.4.1</t>
  </si>
  <si>
    <t>Settings</t>
  </si>
  <si>
    <t>Do not prompt to connect to GPS</t>
  </si>
  <si>
    <t>Card list</t>
  </si>
  <si>
    <t>Save address</t>
  </si>
  <si>
    <t>Is the difference only about lead time of booking a cab?
Need more info</t>
  </si>
  <si>
    <t>Phones</t>
  </si>
  <si>
    <t>Tablets</t>
  </si>
  <si>
    <t>Total Dev effort</t>
  </si>
  <si>
    <t>Customer:</t>
  </si>
  <si>
    <t>CarzOnRent</t>
  </si>
  <si>
    <t>Effort</t>
  </si>
  <si>
    <t>PD</t>
  </si>
  <si>
    <t>Dev effort Summary</t>
  </si>
  <si>
    <t xml:space="preserve"> Current booking,  Booking Status, Favorite trips, Payment, Book Later, other features to redirect to website, Settings</t>
  </si>
  <si>
    <t>Resources</t>
  </si>
  <si>
    <t>Grade</t>
  </si>
  <si>
    <t>C</t>
  </si>
  <si>
    <t>D</t>
  </si>
  <si>
    <t>B</t>
  </si>
  <si>
    <t>UX Designer</t>
  </si>
  <si>
    <t>UI</t>
  </si>
  <si>
    <t>Dev &amp; UT</t>
  </si>
  <si>
    <t>Intg Testing</t>
  </si>
  <si>
    <t>Login</t>
  </si>
  <si>
    <t>? Required since card details are stored</t>
  </si>
  <si>
    <t>iOS Lead/Sr. Dev</t>
  </si>
  <si>
    <t>iOS Developer</t>
  </si>
  <si>
    <t>Setup (Store Card info in BE via API)</t>
  </si>
  <si>
    <t xml:space="preserve">Payment </t>
  </si>
  <si>
    <t>Invoke Payment API exposed by BE</t>
  </si>
  <si>
    <t>Booking confirmation (via notifications/SMS ?)</t>
  </si>
  <si>
    <t>UAT (1 week)</t>
  </si>
  <si>
    <t>UI Design (Wireframes+Artwork)</t>
  </si>
  <si>
    <t>App Store and Go Live Support</t>
  </si>
  <si>
    <t>M2</t>
  </si>
  <si>
    <t>SageOne</t>
    <phoneticPr fontId="7"/>
  </si>
  <si>
    <t>Authentication is using Sage ID. Google Id is not considered</t>
    <phoneticPr fontId="7"/>
  </si>
  <si>
    <t>Reuse the existing components from Sage Mobile Sales</t>
    <phoneticPr fontId="7"/>
  </si>
  <si>
    <t xml:space="preserve">Design </t>
    <phoneticPr fontId="7"/>
  </si>
  <si>
    <t>Local Storage</t>
    <phoneticPr fontId="7"/>
  </si>
  <si>
    <t>Sage One server integration</t>
    <phoneticPr fontId="7"/>
  </si>
  <si>
    <t>Localization support</t>
    <phoneticPr fontId="7"/>
  </si>
  <si>
    <t>Support multiple set of API's</t>
    <phoneticPr fontId="7"/>
  </si>
  <si>
    <t>Dashboard</t>
    <phoneticPr fontId="7"/>
  </si>
  <si>
    <t>Contacts</t>
    <phoneticPr fontId="7"/>
  </si>
  <si>
    <t>Display contact list</t>
    <phoneticPr fontId="7"/>
  </si>
  <si>
    <t>Filter contact list</t>
    <phoneticPr fontId="7"/>
  </si>
  <si>
    <t>Display contact details</t>
    <phoneticPr fontId="7"/>
  </si>
  <si>
    <t>Add/Edit contact</t>
    <phoneticPr fontId="7"/>
  </si>
  <si>
    <t>UI Navigation</t>
    <phoneticPr fontId="7"/>
  </si>
  <si>
    <t>Invoices</t>
    <phoneticPr fontId="7"/>
  </si>
  <si>
    <t>Display inovice list</t>
    <phoneticPr fontId="7"/>
  </si>
  <si>
    <t>Filter invoice list</t>
    <phoneticPr fontId="7"/>
  </si>
  <si>
    <t>Display invoice details</t>
    <phoneticPr fontId="7"/>
  </si>
  <si>
    <t>Sign in using Sage Id</t>
    <phoneticPr fontId="7"/>
  </si>
  <si>
    <t xml:space="preserve">Our Suggestion: We can restrict the countries on the app store based on the apple id (Not user's locale). When the app is launched for the first time, we can seed the app using the user's locale. </t>
    <phoneticPr fontId="7"/>
  </si>
  <si>
    <t>Option to choose the country</t>
    <phoneticPr fontId="7"/>
  </si>
  <si>
    <t>Display company data (YTD income, YTD expense, YTD profit, no of outstanding invoices)</t>
    <phoneticPr fontId="7"/>
  </si>
  <si>
    <t>Option to switch company</t>
    <phoneticPr fontId="7"/>
  </si>
  <si>
    <t>Add/Edit invoice</t>
    <phoneticPr fontId="7"/>
  </si>
  <si>
    <t>View and email pdf of the invoice</t>
    <phoneticPr fontId="7"/>
  </si>
  <si>
    <t>Nice to have Features</t>
    <phoneticPr fontId="7"/>
  </si>
  <si>
    <t>Call the contact from contact detail view</t>
    <phoneticPr fontId="7"/>
  </si>
  <si>
    <t>Expenses</t>
    <phoneticPr fontId="7"/>
  </si>
  <si>
    <t>Capture photo of the receipt and upload to users google drive</t>
    <phoneticPr fontId="7"/>
  </si>
  <si>
    <t>6.3.1</t>
    <phoneticPr fontId="7"/>
  </si>
  <si>
    <r>
      <t>Name of the client: S</t>
    </r>
    <r>
      <rPr>
        <b/>
        <sz val="11"/>
        <color indexed="8"/>
        <rFont val="Calibri"/>
        <family val="2"/>
      </rPr>
      <t>ageOne</t>
    </r>
    <phoneticPr fontId="7"/>
  </si>
  <si>
    <t>The UX is provided by Sage. The estimate does not include UX effort</t>
    <phoneticPr fontId="7"/>
  </si>
  <si>
    <t>The estimate is only for iPhone platform</t>
    <phoneticPr fontId="7"/>
  </si>
  <si>
    <t>The app will be designed to support different Sage One API. However the estimate only inlcudes development for UK. The rest of the world development effort is not considered at this point</t>
    <phoneticPr fontId="7"/>
  </si>
  <si>
    <t>Any delay in the UX, API details from Sage will impact the cost and schedule</t>
    <phoneticPr fontId="7"/>
  </si>
  <si>
    <t>The effort does not include any web service API development.</t>
    <phoneticPr fontId="7"/>
  </si>
  <si>
    <t>6.3.2</t>
    <phoneticPr fontId="7"/>
  </si>
  <si>
    <t>Update the contact details from map/current GPS location</t>
    <phoneticPr fontId="7"/>
  </si>
  <si>
    <t>The app will be supported for portrait orientation only</t>
    <phoneticPr fontId="7"/>
  </si>
  <si>
    <t>The app will be supported for iOS 7 only</t>
    <phoneticPr fontId="7"/>
  </si>
</sst>
</file>

<file path=xl/styles.xml><?xml version="1.0" encoding="utf-8"?>
<styleSheet xmlns="http://schemas.openxmlformats.org/spreadsheetml/2006/main">
  <numFmts count="1">
    <numFmt numFmtId="168" formatCode="0.0"/>
  </numFmts>
  <fonts count="9">
    <font>
      <sz val="11"/>
      <color theme="1"/>
      <name val="Calibri"/>
      <family val="2"/>
      <scheme val="minor"/>
    </font>
    <font>
      <b/>
      <sz val="11"/>
      <color indexed="8"/>
      <name val="Calibri"/>
      <family val="2"/>
    </font>
    <font>
      <sz val="11"/>
      <color indexed="10"/>
      <name val="Calibri"/>
      <family val="2"/>
    </font>
    <font>
      <b/>
      <sz val="11"/>
      <color indexed="8"/>
      <name val="Calibri"/>
      <family val="2"/>
    </font>
    <font>
      <sz val="11"/>
      <name val="Calibri"/>
      <family val="2"/>
    </font>
    <font>
      <b/>
      <sz val="9"/>
      <color indexed="81"/>
      <name val="Tahoma"/>
      <family val="2"/>
    </font>
    <font>
      <b/>
      <sz val="11"/>
      <name val="Calibri"/>
      <family val="2"/>
    </font>
    <font>
      <sz val="6"/>
      <name val="MS Gothic"/>
      <family val="3"/>
      <charset val="128"/>
    </font>
    <font>
      <b/>
      <sz val="11"/>
      <color indexed="10"/>
      <name val="Calibri"/>
      <family val="2"/>
    </font>
  </fonts>
  <fills count="5">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indexed="11"/>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91">
    <xf numFmtId="0" fontId="0" fillId="0" borderId="0" xfId="0"/>
    <xf numFmtId="0" fontId="0" fillId="0" borderId="0" xfId="0" applyAlignment="1">
      <alignment vertical="center" wrapText="1"/>
    </xf>
    <xf numFmtId="0" fontId="0" fillId="0" borderId="0" xfId="0" applyAlignment="1">
      <alignment horizontal="center"/>
    </xf>
    <xf numFmtId="0" fontId="0" fillId="0" borderId="0" xfId="0" applyFont="1" applyAlignment="1">
      <alignment vertical="center" wrapText="1"/>
    </xf>
    <xf numFmtId="168" fontId="0" fillId="0" borderId="0" xfId="0" applyNumberFormat="1" applyAlignment="1">
      <alignment horizontal="center" vertical="center" wrapText="1"/>
    </xf>
    <xf numFmtId="168" fontId="0" fillId="0" borderId="1" xfId="0" applyNumberFormat="1" applyFont="1" applyBorder="1" applyAlignment="1">
      <alignment horizontal="center" vertical="center" wrapText="1"/>
    </xf>
    <xf numFmtId="168" fontId="0" fillId="0" borderId="1" xfId="0" applyNumberFormat="1" applyBorder="1" applyAlignment="1">
      <alignment horizontal="center" vertical="center" wrapText="1"/>
    </xf>
    <xf numFmtId="168" fontId="0" fillId="0" borderId="2" xfId="0" applyNumberFormat="1" applyFont="1" applyBorder="1" applyAlignment="1">
      <alignment horizontal="center" vertical="center" wrapText="1"/>
    </xf>
    <xf numFmtId="0" fontId="0" fillId="0" borderId="0" xfId="0" applyAlignment="1">
      <alignment vertical="center"/>
    </xf>
    <xf numFmtId="0" fontId="1" fillId="0" borderId="0" xfId="0" applyFont="1" applyAlignment="1">
      <alignment horizontal="center" vertical="center"/>
    </xf>
    <xf numFmtId="0" fontId="0" fillId="0" borderId="3" xfId="0" applyFont="1" applyBorder="1" applyAlignment="1">
      <alignment vertical="center" wrapText="1"/>
    </xf>
    <xf numFmtId="9" fontId="0" fillId="0" borderId="4" xfId="0" applyNumberFormat="1" applyFont="1" applyBorder="1" applyAlignment="1">
      <alignment horizontal="left" vertical="center" wrapText="1"/>
    </xf>
    <xf numFmtId="168" fontId="2" fillId="0" borderId="1" xfId="0" applyNumberFormat="1" applyFont="1" applyBorder="1" applyAlignment="1">
      <alignment horizontal="center" vertical="center" wrapText="1"/>
    </xf>
    <xf numFmtId="16" fontId="0" fillId="0" borderId="0" xfId="0" applyNumberFormat="1"/>
    <xf numFmtId="0" fontId="0" fillId="0" borderId="1" xfId="0" applyBorder="1" applyAlignment="1">
      <alignment horizontal="left" vertical="center" wrapText="1"/>
    </xf>
    <xf numFmtId="168" fontId="0" fillId="2" borderId="1" xfId="0" applyNumberFormat="1" applyFont="1" applyFill="1" applyBorder="1" applyAlignment="1">
      <alignment horizontal="center" vertical="center" wrapText="1"/>
    </xf>
    <xf numFmtId="0" fontId="1" fillId="3" borderId="1" xfId="0" applyFont="1" applyFill="1" applyBorder="1" applyAlignment="1">
      <alignment horizontal="center" vertical="center" wrapText="1"/>
    </xf>
    <xf numFmtId="168" fontId="1" fillId="3" borderId="1" xfId="0" applyNumberFormat="1" applyFont="1" applyFill="1" applyBorder="1" applyAlignment="1">
      <alignment horizontal="center" vertical="center" wrapText="1"/>
    </xf>
    <xf numFmtId="0" fontId="0" fillId="0" borderId="1" xfId="0" applyBorder="1" applyAlignment="1">
      <alignment horizontal="left" vertical="center" wrapText="1" indent="1"/>
    </xf>
    <xf numFmtId="0" fontId="0" fillId="0" borderId="1" xfId="0" applyBorder="1" applyAlignment="1">
      <alignment horizontal="left" vertical="center" wrapText="1" indent="2"/>
    </xf>
    <xf numFmtId="0" fontId="0" fillId="0" borderId="1" xfId="0" applyBorder="1" applyAlignment="1">
      <alignment vertical="center" wrapText="1"/>
    </xf>
    <xf numFmtId="0" fontId="0" fillId="0" borderId="1" xfId="0" applyFont="1" applyBorder="1" applyAlignment="1">
      <alignment horizontal="right" vertical="center" wrapText="1"/>
    </xf>
    <xf numFmtId="0" fontId="0" fillId="0" borderId="1" xfId="0" applyFont="1" applyBorder="1" applyAlignment="1">
      <alignment vertical="center" wrapText="1"/>
    </xf>
    <xf numFmtId="0" fontId="2" fillId="0" borderId="1" xfId="0" applyFont="1" applyBorder="1" applyAlignment="1">
      <alignment vertical="center" wrapText="1"/>
    </xf>
    <xf numFmtId="0" fontId="1" fillId="3" borderId="4" xfId="0" applyFont="1" applyFill="1" applyBorder="1" applyAlignment="1">
      <alignment horizontal="center" vertical="center" wrapText="1"/>
    </xf>
    <xf numFmtId="0" fontId="0" fillId="0" borderId="5" xfId="0" applyBorder="1" applyAlignment="1">
      <alignment vertical="center"/>
    </xf>
    <xf numFmtId="0" fontId="0" fillId="0" borderId="4" xfId="0" applyFont="1" applyBorder="1" applyAlignment="1">
      <alignment vertical="center" wrapText="1"/>
    </xf>
    <xf numFmtId="0" fontId="0" fillId="0" borderId="0" xfId="0" applyAlignment="1">
      <alignment horizontal="center" vertical="center"/>
    </xf>
    <xf numFmtId="0" fontId="0" fillId="0" borderId="0" xfId="0" applyAlignment="1">
      <alignment horizontal="left" vertical="center"/>
    </xf>
    <xf numFmtId="0" fontId="0" fillId="0" borderId="6" xfId="0" applyBorder="1" applyAlignment="1">
      <alignment horizontal="left" vertical="center"/>
    </xf>
    <xf numFmtId="0" fontId="1" fillId="3" borderId="1" xfId="0" applyFont="1" applyFill="1" applyBorder="1" applyAlignment="1">
      <alignment horizontal="left" vertical="center" wrapText="1"/>
    </xf>
    <xf numFmtId="0" fontId="1" fillId="0" borderId="5" xfId="0" applyFont="1" applyBorder="1" applyAlignment="1">
      <alignment horizontal="left" vertical="center"/>
    </xf>
    <xf numFmtId="0" fontId="0" fillId="0" borderId="5" xfId="0" applyBorder="1" applyAlignment="1">
      <alignment horizontal="left" vertical="center"/>
    </xf>
    <xf numFmtId="0" fontId="0" fillId="0" borderId="1" xfId="0" applyBorder="1" applyAlignment="1">
      <alignment horizontal="left" vertical="center"/>
    </xf>
    <xf numFmtId="0" fontId="0" fillId="2" borderId="4" xfId="0" applyFill="1" applyBorder="1" applyAlignment="1">
      <alignment horizontal="left" vertical="center" wrapText="1"/>
    </xf>
    <xf numFmtId="0" fontId="0" fillId="2" borderId="4" xfId="0" applyFont="1" applyFill="1" applyBorder="1" applyAlignment="1">
      <alignment horizontal="left" vertical="center" wrapText="1"/>
    </xf>
    <xf numFmtId="0" fontId="0" fillId="0" borderId="4" xfId="0" applyFont="1" applyBorder="1" applyAlignment="1">
      <alignment horizontal="left" vertical="center" wrapText="1"/>
    </xf>
    <xf numFmtId="168" fontId="0" fillId="3" borderId="1" xfId="0" applyNumberFormat="1" applyFont="1" applyFill="1" applyBorder="1" applyAlignment="1">
      <alignment horizontal="center" vertical="center" wrapText="1"/>
    </xf>
    <xf numFmtId="0" fontId="1" fillId="0" borderId="0" xfId="0" applyFont="1" applyAlignment="1">
      <alignment vertical="center" wrapText="1"/>
    </xf>
    <xf numFmtId="0" fontId="1" fillId="0" borderId="0" xfId="0" applyFont="1" applyAlignment="1">
      <alignment vertical="center"/>
    </xf>
    <xf numFmtId="0" fontId="1" fillId="0" borderId="0" xfId="0" applyFont="1" applyAlignment="1">
      <alignment horizontal="left" vertical="center"/>
    </xf>
    <xf numFmtId="168" fontId="1" fillId="0" borderId="0" xfId="0" applyNumberFormat="1" applyFont="1" applyAlignment="1">
      <alignment horizontal="left" vertical="center" wrapText="1"/>
    </xf>
    <xf numFmtId="168" fontId="1" fillId="0" borderId="0" xfId="0" applyNumberFormat="1" applyFont="1" applyAlignment="1">
      <alignment horizontal="center" vertical="center" wrapText="1"/>
    </xf>
    <xf numFmtId="0" fontId="0" fillId="0" borderId="0" xfId="0" applyFont="1" applyAlignment="1">
      <alignment vertical="center"/>
    </xf>
    <xf numFmtId="0" fontId="0" fillId="0" borderId="0" xfId="0" applyFont="1" applyAlignment="1">
      <alignment horizontal="center" vertical="center"/>
    </xf>
    <xf numFmtId="0" fontId="3" fillId="0" borderId="5" xfId="0" applyFont="1" applyBorder="1" applyAlignment="1">
      <alignment vertical="center"/>
    </xf>
    <xf numFmtId="0" fontId="3" fillId="0" borderId="1" xfId="0" applyFont="1" applyBorder="1" applyAlignment="1">
      <alignment horizontal="center" vertical="center"/>
    </xf>
    <xf numFmtId="0" fontId="0" fillId="0" borderId="1" xfId="0" applyFont="1" applyBorder="1" applyAlignment="1">
      <alignment horizontal="center" vertical="center"/>
    </xf>
    <xf numFmtId="0" fontId="0" fillId="0" borderId="4" xfId="0" applyFont="1" applyBorder="1" applyAlignment="1">
      <alignment horizontal="center" vertical="center"/>
    </xf>
    <xf numFmtId="0" fontId="0" fillId="0" borderId="5" xfId="0" applyFont="1" applyBorder="1" applyAlignment="1">
      <alignment vertical="center"/>
    </xf>
    <xf numFmtId="0" fontId="4" fillId="0" borderId="1" xfId="0" applyFont="1" applyBorder="1" applyAlignment="1">
      <alignment horizontal="center" vertical="center"/>
    </xf>
    <xf numFmtId="2" fontId="0" fillId="0" borderId="4" xfId="0" applyNumberFormat="1" applyFont="1" applyBorder="1" applyAlignment="1">
      <alignment horizontal="center" vertical="center"/>
    </xf>
    <xf numFmtId="0" fontId="4" fillId="0" borderId="5" xfId="0" applyFont="1" applyBorder="1" applyAlignment="1">
      <alignment vertical="center"/>
    </xf>
    <xf numFmtId="2" fontId="4" fillId="0" borderId="4" xfId="0" applyNumberFormat="1" applyFont="1" applyBorder="1" applyAlignment="1">
      <alignment horizontal="center" vertical="center"/>
    </xf>
    <xf numFmtId="0" fontId="0" fillId="0" borderId="7" xfId="0" applyFont="1" applyBorder="1" applyAlignment="1">
      <alignment vertical="center"/>
    </xf>
    <xf numFmtId="0" fontId="0" fillId="0" borderId="2" xfId="0" applyFont="1" applyBorder="1" applyAlignment="1">
      <alignment horizontal="center" vertical="center"/>
    </xf>
    <xf numFmtId="2" fontId="3" fillId="0" borderId="3" xfId="0" applyNumberFormat="1" applyFont="1" applyBorder="1" applyAlignment="1">
      <alignment horizontal="center" vertical="center"/>
    </xf>
    <xf numFmtId="9" fontId="2" fillId="0" borderId="4" xfId="0" applyNumberFormat="1" applyFont="1" applyBorder="1" applyAlignment="1">
      <alignment horizontal="left" vertical="center" wrapText="1"/>
    </xf>
    <xf numFmtId="0" fontId="0" fillId="0" borderId="1" xfId="0" applyFill="1" applyBorder="1" applyAlignment="1">
      <alignment horizontal="left" vertical="center" wrapText="1"/>
    </xf>
    <xf numFmtId="168" fontId="0" fillId="0" borderId="1" xfId="0" applyNumberFormat="1" applyFont="1" applyFill="1" applyBorder="1" applyAlignment="1">
      <alignment horizontal="center" vertical="center" wrapText="1"/>
    </xf>
    <xf numFmtId="0" fontId="0" fillId="0" borderId="4" xfId="0" applyBorder="1" applyAlignment="1">
      <alignment vertical="center" wrapText="1"/>
    </xf>
    <xf numFmtId="168" fontId="0" fillId="2" borderId="1" xfId="0" applyNumberFormat="1" applyFont="1" applyFill="1" applyBorder="1" applyAlignment="1">
      <alignment horizontal="center" vertical="center" wrapText="1"/>
    </xf>
    <xf numFmtId="0" fontId="1" fillId="0" borderId="5" xfId="0" applyFont="1" applyBorder="1" applyAlignment="1">
      <alignment horizontal="left" vertical="center" indent="1"/>
    </xf>
    <xf numFmtId="0" fontId="2" fillId="2" borderId="4" xfId="0" applyFont="1" applyFill="1" applyBorder="1" applyAlignment="1">
      <alignment horizontal="left" vertical="center" wrapText="1"/>
    </xf>
    <xf numFmtId="0" fontId="2" fillId="0" borderId="1" xfId="0" applyFont="1" applyBorder="1" applyAlignment="1">
      <alignment horizontal="left" vertical="center" wrapText="1" indent="1"/>
    </xf>
    <xf numFmtId="168" fontId="2" fillId="2" borderId="1" xfId="0" applyNumberFormat="1" applyFont="1" applyFill="1" applyBorder="1" applyAlignment="1">
      <alignment horizontal="center" vertical="center" wrapText="1"/>
    </xf>
    <xf numFmtId="0" fontId="6" fillId="0" borderId="5" xfId="0" applyFont="1" applyBorder="1" applyAlignment="1">
      <alignment horizontal="left" vertical="center" indent="1"/>
    </xf>
    <xf numFmtId="0" fontId="4" fillId="0" borderId="1" xfId="0" applyFont="1" applyBorder="1" applyAlignment="1">
      <alignment horizontal="left" vertical="center" wrapText="1" indent="1"/>
    </xf>
    <xf numFmtId="168" fontId="4" fillId="2" borderId="1" xfId="0" applyNumberFormat="1" applyFont="1" applyFill="1" applyBorder="1" applyAlignment="1">
      <alignment horizontal="center" vertical="center" wrapText="1"/>
    </xf>
    <xf numFmtId="0" fontId="1" fillId="0" borderId="5" xfId="0" applyFont="1" applyBorder="1" applyAlignment="1">
      <alignment horizontal="left" vertical="center" indent="2"/>
    </xf>
    <xf numFmtId="0" fontId="0" fillId="0" borderId="1" xfId="0" applyBorder="1" applyAlignment="1">
      <alignment horizontal="center" vertical="center"/>
    </xf>
    <xf numFmtId="0" fontId="8" fillId="0" borderId="5" xfId="0" applyFont="1" applyBorder="1" applyAlignment="1">
      <alignment horizontal="left" vertical="center" indent="2"/>
    </xf>
    <xf numFmtId="0" fontId="0" fillId="0" borderId="1" xfId="0" applyBorder="1" applyAlignment="1">
      <alignment horizontal="left" vertical="center" wrapText="1"/>
    </xf>
    <xf numFmtId="0" fontId="1" fillId="3" borderId="8" xfId="0" applyFont="1" applyFill="1" applyBorder="1" applyAlignment="1">
      <alignment horizontal="center" vertical="center" wrapText="1"/>
    </xf>
    <xf numFmtId="0" fontId="1" fillId="3" borderId="9" xfId="0" applyFont="1" applyFill="1" applyBorder="1" applyAlignment="1">
      <alignment horizontal="center" vertical="center" wrapText="1"/>
    </xf>
    <xf numFmtId="0" fontId="0" fillId="0" borderId="10" xfId="0" applyBorder="1" applyAlignment="1">
      <alignment horizontal="left" vertical="center"/>
    </xf>
    <xf numFmtId="0" fontId="0" fillId="0" borderId="11" xfId="0" applyBorder="1" applyAlignment="1">
      <alignment horizontal="left" vertical="center"/>
    </xf>
    <xf numFmtId="0" fontId="0" fillId="0" borderId="1" xfId="0" applyBorder="1" applyAlignment="1">
      <alignment horizontal="center" vertical="center" wrapText="1"/>
    </xf>
    <xf numFmtId="0" fontId="0" fillId="0" borderId="2" xfId="0" applyFont="1" applyBorder="1" applyAlignment="1">
      <alignment horizontal="center" vertical="center" wrapText="1"/>
    </xf>
    <xf numFmtId="0" fontId="1" fillId="0" borderId="12" xfId="0" applyFont="1" applyBorder="1" applyAlignment="1">
      <alignment horizontal="left" vertical="center"/>
    </xf>
    <xf numFmtId="0" fontId="1" fillId="0" borderId="13" xfId="0" applyFont="1" applyBorder="1" applyAlignment="1">
      <alignment horizontal="left" vertical="center"/>
    </xf>
    <xf numFmtId="0" fontId="1" fillId="0" borderId="14" xfId="0" applyFont="1" applyBorder="1" applyAlignment="1">
      <alignment horizontal="left" vertical="center"/>
    </xf>
    <xf numFmtId="0" fontId="0" fillId="0" borderId="12" xfId="0" applyBorder="1" applyAlignment="1">
      <alignment horizontal="left" vertical="center" wrapText="1"/>
    </xf>
    <xf numFmtId="0" fontId="0" fillId="0" borderId="13" xfId="0" applyBorder="1" applyAlignment="1">
      <alignment horizontal="left" vertical="center" wrapText="1"/>
    </xf>
    <xf numFmtId="0" fontId="0" fillId="0" borderId="14" xfId="0" applyBorder="1" applyAlignment="1">
      <alignment horizontal="left" vertical="center" wrapText="1"/>
    </xf>
    <xf numFmtId="0" fontId="3" fillId="0" borderId="0" xfId="0" applyFont="1" applyFill="1" applyAlignment="1">
      <alignment horizontal="left" vertical="center" wrapText="1"/>
    </xf>
    <xf numFmtId="0" fontId="6" fillId="0" borderId="0" xfId="0" applyFont="1" applyFill="1" applyAlignment="1">
      <alignment horizontal="left" vertical="center"/>
    </xf>
    <xf numFmtId="0" fontId="3" fillId="0" borderId="0" xfId="0" applyFont="1" applyFill="1" applyBorder="1" applyAlignment="1">
      <alignment horizontal="left" vertical="center" wrapText="1"/>
    </xf>
    <xf numFmtId="0" fontId="3" fillId="4" borderId="6" xfId="0" applyFont="1" applyFill="1" applyBorder="1" applyAlignment="1">
      <alignment horizontal="center" vertical="center"/>
    </xf>
    <xf numFmtId="0" fontId="3" fillId="4" borderId="8" xfId="0" applyFont="1" applyFill="1" applyBorder="1" applyAlignment="1">
      <alignment horizontal="center" vertical="center"/>
    </xf>
    <xf numFmtId="0" fontId="3" fillId="4" borderId="9" xfId="0" applyFont="1" applyFill="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dimension ref="A1:I90"/>
  <sheetViews>
    <sheetView topLeftCell="A26" zoomScaleNormal="100" workbookViewId="0">
      <selection activeCell="D47" sqref="D47"/>
    </sheetView>
  </sheetViews>
  <sheetFormatPr defaultRowHeight="15"/>
  <cols>
    <col min="1" max="1" width="12" style="8" customWidth="1"/>
    <col min="2" max="2" width="9.140625" style="8" hidden="1" customWidth="1"/>
    <col min="3" max="3" width="5.140625" style="28" bestFit="1" customWidth="1"/>
    <col min="4" max="4" width="40.28515625" style="3" customWidth="1"/>
    <col min="5" max="5" width="10.140625" style="4" customWidth="1"/>
    <col min="6" max="7" width="9.42578125" style="4" customWidth="1"/>
    <col min="8" max="8" width="12.7109375" style="4" customWidth="1"/>
    <col min="9" max="9" width="36.28515625" style="1" bestFit="1" customWidth="1"/>
    <col min="10" max="16384" width="9.140625" style="8"/>
  </cols>
  <sheetData>
    <row r="1" spans="1:9">
      <c r="A1" s="38" t="s">
        <v>127</v>
      </c>
      <c r="B1" s="39"/>
      <c r="C1" s="40"/>
      <c r="D1" s="41" t="s">
        <v>128</v>
      </c>
      <c r="E1" s="8"/>
      <c r="F1" s="42" t="s">
        <v>129</v>
      </c>
      <c r="G1" s="42">
        <f>E78</f>
        <v>308.07823500000006</v>
      </c>
      <c r="H1" s="42" t="s">
        <v>130</v>
      </c>
    </row>
    <row r="2" spans="1:9">
      <c r="F2" s="42"/>
      <c r="G2" s="42">
        <f>E79</f>
        <v>14.329220232558143</v>
      </c>
      <c r="H2" s="42" t="s">
        <v>14</v>
      </c>
    </row>
    <row r="3" spans="1:9" ht="15.75" thickBot="1"/>
    <row r="4" spans="1:9" ht="15.75" hidden="1" thickBot="1">
      <c r="D4" s="3">
        <v>21.5</v>
      </c>
      <c r="G4" s="4">
        <v>0.1</v>
      </c>
      <c r="H4" s="4">
        <v>0.4</v>
      </c>
    </row>
    <row r="5" spans="1:9">
      <c r="C5" s="29"/>
      <c r="D5" s="73" t="s">
        <v>18</v>
      </c>
      <c r="E5" s="73"/>
      <c r="F5" s="73"/>
      <c r="G5" s="73"/>
      <c r="H5" s="73"/>
      <c r="I5" s="74"/>
    </row>
    <row r="6" spans="1:9" s="9" customFormat="1" ht="60">
      <c r="C6" s="30" t="s">
        <v>103</v>
      </c>
      <c r="D6" s="16" t="s">
        <v>2</v>
      </c>
      <c r="E6" s="17" t="s">
        <v>8</v>
      </c>
      <c r="F6" s="17" t="s">
        <v>9</v>
      </c>
      <c r="G6" s="17" t="s">
        <v>11</v>
      </c>
      <c r="H6" s="17" t="s">
        <v>105</v>
      </c>
      <c r="I6" s="24" t="s">
        <v>1</v>
      </c>
    </row>
    <row r="7" spans="1:9" s="9" customFormat="1">
      <c r="C7" s="31">
        <v>1</v>
      </c>
      <c r="D7" s="14" t="s">
        <v>19</v>
      </c>
      <c r="E7" s="15"/>
      <c r="F7" s="15">
        <v>5</v>
      </c>
      <c r="G7" s="15"/>
      <c r="H7" s="15"/>
      <c r="I7" s="34" t="s">
        <v>104</v>
      </c>
    </row>
    <row r="8" spans="1:9" s="9" customFormat="1">
      <c r="C8" s="31">
        <v>2</v>
      </c>
      <c r="D8" s="14" t="s">
        <v>80</v>
      </c>
      <c r="E8" s="15"/>
      <c r="F8" s="15">
        <v>5</v>
      </c>
      <c r="G8" s="15"/>
      <c r="H8" s="15"/>
      <c r="I8" s="35"/>
    </row>
    <row r="9" spans="1:9" s="9" customFormat="1">
      <c r="C9" s="31"/>
      <c r="D9" s="14"/>
      <c r="E9" s="15"/>
      <c r="F9" s="15"/>
      <c r="G9" s="15"/>
      <c r="H9" s="15"/>
      <c r="I9" s="35"/>
    </row>
    <row r="10" spans="1:9" s="9" customFormat="1" ht="30">
      <c r="C10" s="31"/>
      <c r="D10" s="14" t="s">
        <v>142</v>
      </c>
      <c r="E10" s="15">
        <v>1</v>
      </c>
      <c r="F10" s="15">
        <v>1</v>
      </c>
      <c r="G10" s="15">
        <f>SUM(E10:F10)*$G$4</f>
        <v>0.2</v>
      </c>
      <c r="H10" s="15">
        <f>SUM(E10:F10)*$H$4</f>
        <v>0.8</v>
      </c>
      <c r="I10" s="34" t="s">
        <v>143</v>
      </c>
    </row>
    <row r="11" spans="1:9" s="9" customFormat="1">
      <c r="C11" s="31">
        <v>3</v>
      </c>
      <c r="D11" s="14" t="s">
        <v>90</v>
      </c>
      <c r="E11" s="15"/>
      <c r="F11" s="15"/>
      <c r="G11" s="15"/>
      <c r="H11" s="15"/>
      <c r="I11" s="35"/>
    </row>
    <row r="12" spans="1:9" s="9" customFormat="1" ht="45">
      <c r="C12" s="31">
        <v>3.1</v>
      </c>
      <c r="D12" s="18" t="s">
        <v>132</v>
      </c>
      <c r="E12" s="15">
        <v>1</v>
      </c>
      <c r="F12" s="15">
        <v>1</v>
      </c>
      <c r="G12" s="15">
        <f>SUM(E12:F12)*$G$4</f>
        <v>0.2</v>
      </c>
      <c r="H12" s="15">
        <v>0</v>
      </c>
      <c r="I12" s="35"/>
    </row>
    <row r="13" spans="1:9" s="9" customFormat="1">
      <c r="C13" s="31"/>
      <c r="D13" s="14"/>
      <c r="E13" s="15"/>
      <c r="F13" s="15"/>
      <c r="G13" s="15"/>
      <c r="H13" s="15"/>
      <c r="I13" s="35"/>
    </row>
    <row r="14" spans="1:9" s="9" customFormat="1">
      <c r="C14" s="31"/>
      <c r="D14" s="14"/>
      <c r="E14" s="15"/>
      <c r="F14" s="15"/>
      <c r="G14" s="15"/>
      <c r="H14" s="15"/>
      <c r="I14" s="35"/>
    </row>
    <row r="15" spans="1:9" s="9" customFormat="1">
      <c r="C15" s="31">
        <v>4</v>
      </c>
      <c r="D15" s="14" t="s">
        <v>84</v>
      </c>
      <c r="E15" s="15"/>
      <c r="F15" s="15"/>
      <c r="G15" s="15"/>
      <c r="H15" s="15"/>
      <c r="I15" s="35"/>
    </row>
    <row r="16" spans="1:9" s="9" customFormat="1">
      <c r="C16" s="31">
        <v>4.0999999999999996</v>
      </c>
      <c r="D16" s="18" t="s">
        <v>81</v>
      </c>
      <c r="E16" s="15">
        <v>1</v>
      </c>
      <c r="F16" s="15">
        <v>2</v>
      </c>
      <c r="G16" s="15">
        <f>SUM(E16:F16)*$G$4</f>
        <v>0.30000000000000004</v>
      </c>
      <c r="H16" s="15">
        <f t="shared" ref="H16:H22" si="0">SUM(E16:F16)*$H$4</f>
        <v>1.2000000000000002</v>
      </c>
      <c r="I16" s="34"/>
    </row>
    <row r="17" spans="3:9" s="9" customFormat="1">
      <c r="C17" s="31">
        <v>4.2</v>
      </c>
      <c r="D17" s="18" t="s">
        <v>82</v>
      </c>
      <c r="E17" s="15">
        <v>0.5</v>
      </c>
      <c r="F17" s="15">
        <v>1</v>
      </c>
      <c r="G17" s="15">
        <f t="shared" ref="G17:G30" si="1">SUM(E17:F17)*0.15</f>
        <v>0.22499999999999998</v>
      </c>
      <c r="H17" s="15">
        <f t="shared" si="0"/>
        <v>0.60000000000000009</v>
      </c>
      <c r="I17" s="34"/>
    </row>
    <row r="18" spans="3:9" s="9" customFormat="1" ht="30">
      <c r="C18" s="31" t="s">
        <v>100</v>
      </c>
      <c r="D18" s="19" t="s">
        <v>149</v>
      </c>
      <c r="E18" s="15">
        <v>0.25</v>
      </c>
      <c r="F18" s="15">
        <v>0.5</v>
      </c>
      <c r="G18" s="15">
        <f t="shared" si="1"/>
        <v>0.11249999999999999</v>
      </c>
      <c r="H18" s="15">
        <f t="shared" si="0"/>
        <v>0.30000000000000004</v>
      </c>
      <c r="I18" s="34"/>
    </row>
    <row r="19" spans="3:9" s="9" customFormat="1">
      <c r="C19" s="31" t="s">
        <v>101</v>
      </c>
      <c r="D19" s="19" t="s">
        <v>88</v>
      </c>
      <c r="E19" s="15">
        <v>0.5</v>
      </c>
      <c r="F19" s="15">
        <v>1</v>
      </c>
      <c r="G19" s="15">
        <f t="shared" si="1"/>
        <v>0.22499999999999998</v>
      </c>
      <c r="H19" s="15">
        <f t="shared" si="0"/>
        <v>0.60000000000000009</v>
      </c>
      <c r="I19" s="34"/>
    </row>
    <row r="20" spans="3:9" s="9" customFormat="1">
      <c r="C20" s="31">
        <v>4.3</v>
      </c>
      <c r="D20" s="18" t="s">
        <v>83</v>
      </c>
      <c r="E20" s="15">
        <v>1</v>
      </c>
      <c r="F20" s="15">
        <v>2</v>
      </c>
      <c r="G20" s="15">
        <f t="shared" si="1"/>
        <v>0.44999999999999996</v>
      </c>
      <c r="H20" s="15">
        <f t="shared" si="0"/>
        <v>1.2000000000000002</v>
      </c>
      <c r="I20" s="34"/>
    </row>
    <row r="21" spans="3:9" s="9" customFormat="1" ht="30">
      <c r="C21" s="31" t="s">
        <v>102</v>
      </c>
      <c r="D21" s="19" t="s">
        <v>87</v>
      </c>
      <c r="E21" s="15">
        <v>0.25</v>
      </c>
      <c r="F21" s="15">
        <v>1</v>
      </c>
      <c r="G21" s="15">
        <f t="shared" si="1"/>
        <v>0.1875</v>
      </c>
      <c r="H21" s="15">
        <f t="shared" si="0"/>
        <v>0.5</v>
      </c>
      <c r="I21" s="34" t="s">
        <v>115</v>
      </c>
    </row>
    <row r="22" spans="3:9" s="9" customFormat="1" ht="30">
      <c r="C22" s="31">
        <v>4.4000000000000004</v>
      </c>
      <c r="D22" s="18" t="s">
        <v>117</v>
      </c>
      <c r="E22" s="15">
        <v>1</v>
      </c>
      <c r="F22" s="15">
        <v>2</v>
      </c>
      <c r="G22" s="15">
        <f>SUM(E22:F22)*$G$4</f>
        <v>0.30000000000000004</v>
      </c>
      <c r="H22" s="15">
        <f t="shared" si="0"/>
        <v>1.2000000000000002</v>
      </c>
      <c r="I22" s="34"/>
    </row>
    <row r="23" spans="3:9" s="9" customFormat="1" ht="30">
      <c r="C23" s="31" t="s">
        <v>118</v>
      </c>
      <c r="D23" s="19" t="s">
        <v>116</v>
      </c>
      <c r="E23" s="15"/>
      <c r="F23" s="15"/>
      <c r="G23" s="15"/>
      <c r="H23" s="15"/>
      <c r="I23" s="34"/>
    </row>
    <row r="24" spans="3:9" s="9" customFormat="1">
      <c r="C24" s="31">
        <v>4.5</v>
      </c>
      <c r="D24" s="18" t="s">
        <v>85</v>
      </c>
      <c r="E24" s="15">
        <v>0.25</v>
      </c>
      <c r="F24" s="15">
        <v>1</v>
      </c>
      <c r="G24" s="15">
        <f t="shared" si="1"/>
        <v>0.1875</v>
      </c>
      <c r="H24" s="15">
        <v>0.5</v>
      </c>
      <c r="I24" s="34"/>
    </row>
    <row r="25" spans="3:9" s="9" customFormat="1">
      <c r="C25" s="31">
        <v>4.5999999999999996</v>
      </c>
      <c r="D25" s="18" t="s">
        <v>86</v>
      </c>
      <c r="E25" s="15">
        <v>0.25</v>
      </c>
      <c r="F25" s="15">
        <v>1</v>
      </c>
      <c r="G25" s="15">
        <f t="shared" si="1"/>
        <v>0.1875</v>
      </c>
      <c r="H25" s="15">
        <v>0.5</v>
      </c>
      <c r="I25" s="34"/>
    </row>
    <row r="26" spans="3:9" s="9" customFormat="1">
      <c r="C26" s="31"/>
      <c r="D26" s="19"/>
      <c r="E26" s="15"/>
      <c r="F26" s="15"/>
      <c r="G26" s="15"/>
      <c r="H26" s="15"/>
      <c r="I26" s="34"/>
    </row>
    <row r="27" spans="3:9" s="9" customFormat="1">
      <c r="C27" s="31">
        <v>5</v>
      </c>
      <c r="D27" s="14" t="s">
        <v>88</v>
      </c>
      <c r="E27" s="15">
        <v>1</v>
      </c>
      <c r="F27" s="15">
        <v>2</v>
      </c>
      <c r="G27" s="15">
        <f>SUM(E27:F27)*$G$4</f>
        <v>0.30000000000000004</v>
      </c>
      <c r="H27" s="15">
        <f>SUM(E27:F27)*$H$4</f>
        <v>1.2000000000000002</v>
      </c>
      <c r="I27" s="34"/>
    </row>
    <row r="28" spans="3:9" s="9" customFormat="1">
      <c r="C28" s="31"/>
      <c r="D28" s="19"/>
      <c r="E28" s="15"/>
      <c r="F28" s="15"/>
      <c r="G28" s="15"/>
      <c r="H28" s="15"/>
      <c r="I28" s="34"/>
    </row>
    <row r="29" spans="3:9" s="9" customFormat="1">
      <c r="C29" s="31">
        <v>6</v>
      </c>
      <c r="D29" s="14" t="s">
        <v>147</v>
      </c>
      <c r="E29" s="15">
        <v>1</v>
      </c>
      <c r="F29" s="15">
        <v>2</v>
      </c>
      <c r="G29" s="15">
        <f t="shared" si="1"/>
        <v>0.44999999999999996</v>
      </c>
      <c r="H29" s="15">
        <f>SUM(F29:G29)*0.15</f>
        <v>0.36749999999999999</v>
      </c>
      <c r="I29" s="34" t="s">
        <v>148</v>
      </c>
    </row>
    <row r="30" spans="3:9" s="9" customFormat="1">
      <c r="C30" s="31">
        <v>6.1</v>
      </c>
      <c r="D30" s="19" t="s">
        <v>146</v>
      </c>
      <c r="E30" s="15">
        <v>1</v>
      </c>
      <c r="F30" s="15">
        <v>2</v>
      </c>
      <c r="G30" s="15">
        <f t="shared" si="1"/>
        <v>0.44999999999999996</v>
      </c>
      <c r="H30" s="15">
        <f>SUM(F30:G30)*0.2</f>
        <v>0.49000000000000005</v>
      </c>
      <c r="I30" s="34"/>
    </row>
    <row r="31" spans="3:9" s="9" customFormat="1">
      <c r="C31" s="31"/>
      <c r="D31" s="19"/>
      <c r="E31" s="15"/>
      <c r="F31" s="15"/>
      <c r="G31" s="15"/>
      <c r="H31" s="15"/>
      <c r="I31" s="34"/>
    </row>
    <row r="32" spans="3:9" s="9" customFormat="1">
      <c r="C32" s="31"/>
      <c r="D32" s="19"/>
      <c r="E32" s="15"/>
      <c r="F32" s="15"/>
      <c r="G32" s="15"/>
      <c r="H32" s="15"/>
      <c r="I32" s="34"/>
    </row>
    <row r="33" spans="3:9" s="9" customFormat="1" ht="45">
      <c r="C33" s="31">
        <v>7</v>
      </c>
      <c r="D33" s="14" t="s">
        <v>89</v>
      </c>
      <c r="E33" s="15">
        <v>2</v>
      </c>
      <c r="F33" s="15">
        <v>5</v>
      </c>
      <c r="G33" s="15">
        <f>SUM(E33:F33)*$G$4</f>
        <v>0.70000000000000007</v>
      </c>
      <c r="H33" s="15">
        <f>SUM(F33:G33)*0.2</f>
        <v>1.1400000000000001</v>
      </c>
      <c r="I33" s="34" t="s">
        <v>123</v>
      </c>
    </row>
    <row r="34" spans="3:9" s="9" customFormat="1">
      <c r="C34" s="31"/>
      <c r="D34" s="14"/>
      <c r="E34" s="15"/>
      <c r="F34" s="15"/>
      <c r="G34" s="15"/>
      <c r="H34" s="15"/>
      <c r="I34" s="35"/>
    </row>
    <row r="35" spans="3:9" s="9" customFormat="1">
      <c r="C35" s="31"/>
      <c r="D35" s="20"/>
      <c r="E35" s="15"/>
      <c r="F35" s="15"/>
      <c r="G35" s="15"/>
      <c r="H35" s="15"/>
      <c r="I35" s="35"/>
    </row>
    <row r="36" spans="3:9" s="9" customFormat="1">
      <c r="C36" s="31">
        <v>8</v>
      </c>
      <c r="D36" s="14" t="s">
        <v>94</v>
      </c>
      <c r="E36" s="15"/>
      <c r="F36" s="15"/>
      <c r="G36" s="15"/>
      <c r="H36" s="15"/>
      <c r="I36" s="35"/>
    </row>
    <row r="37" spans="3:9" s="9" customFormat="1">
      <c r="C37" s="31"/>
      <c r="D37" s="18" t="s">
        <v>91</v>
      </c>
      <c r="E37" s="15">
        <v>0.5</v>
      </c>
      <c r="F37" s="15">
        <v>1</v>
      </c>
      <c r="G37" s="15">
        <f>SUM(E37:F37)*0.15</f>
        <v>0.22499999999999998</v>
      </c>
      <c r="H37" s="15">
        <f>SUM(E37:F37)*$H$4</f>
        <v>0.60000000000000009</v>
      </c>
      <c r="I37" s="35"/>
    </row>
    <row r="38" spans="3:9" s="9" customFormat="1">
      <c r="C38" s="31"/>
      <c r="D38" s="18" t="s">
        <v>92</v>
      </c>
      <c r="E38" s="15">
        <v>0.5</v>
      </c>
      <c r="F38" s="15">
        <v>1.5</v>
      </c>
      <c r="G38" s="15">
        <f>SUM(E38:F38)*0.15</f>
        <v>0.3</v>
      </c>
      <c r="H38" s="15">
        <f>SUM(E38:F38)*$H$4</f>
        <v>0.8</v>
      </c>
      <c r="I38" s="34"/>
    </row>
    <row r="39" spans="3:9" s="9" customFormat="1">
      <c r="C39" s="31"/>
      <c r="D39" s="18" t="s">
        <v>93</v>
      </c>
      <c r="E39" s="15">
        <v>0.25</v>
      </c>
      <c r="F39" s="15">
        <v>0.5</v>
      </c>
      <c r="G39" s="15">
        <f>SUM(E39:F39)*0.15</f>
        <v>0.11249999999999999</v>
      </c>
      <c r="H39" s="15">
        <f>SUM(E39:F39)*$H$4</f>
        <v>0.30000000000000004</v>
      </c>
      <c r="I39" s="35"/>
    </row>
    <row r="40" spans="3:9" s="9" customFormat="1">
      <c r="C40" s="31"/>
      <c r="D40" s="14"/>
      <c r="E40" s="15"/>
      <c r="F40" s="15"/>
      <c r="G40" s="15"/>
      <c r="H40" s="15"/>
      <c r="I40" s="35"/>
    </row>
    <row r="41" spans="3:9" s="9" customFormat="1">
      <c r="C41" s="31">
        <v>9</v>
      </c>
      <c r="D41" s="14" t="s">
        <v>95</v>
      </c>
      <c r="E41" s="15">
        <v>0.5</v>
      </c>
      <c r="F41" s="15">
        <v>0.5</v>
      </c>
      <c r="G41" s="15">
        <f>SUM(E41:F41)*$G$4</f>
        <v>0.1</v>
      </c>
      <c r="H41" s="15">
        <v>0</v>
      </c>
      <c r="I41" s="35"/>
    </row>
    <row r="42" spans="3:9" s="9" customFormat="1">
      <c r="C42" s="31"/>
      <c r="D42" s="18" t="s">
        <v>96</v>
      </c>
      <c r="E42" s="37"/>
      <c r="F42" s="37"/>
      <c r="G42" s="37"/>
      <c r="H42" s="37"/>
      <c r="I42" s="35"/>
    </row>
    <row r="43" spans="3:9" s="9" customFormat="1">
      <c r="C43" s="31"/>
      <c r="D43" s="18" t="s">
        <v>97</v>
      </c>
      <c r="E43" s="37"/>
      <c r="F43" s="37"/>
      <c r="G43" s="37"/>
      <c r="H43" s="37"/>
      <c r="I43" s="35"/>
    </row>
    <row r="44" spans="3:9" s="9" customFormat="1">
      <c r="C44" s="31"/>
      <c r="D44" s="18" t="s">
        <v>98</v>
      </c>
      <c r="E44" s="37"/>
      <c r="F44" s="37"/>
      <c r="G44" s="37"/>
      <c r="H44" s="37"/>
      <c r="I44" s="34"/>
    </row>
    <row r="45" spans="3:9" s="9" customFormat="1">
      <c r="C45" s="31"/>
      <c r="D45" s="18" t="s">
        <v>99</v>
      </c>
      <c r="E45" s="37"/>
      <c r="F45" s="37"/>
      <c r="G45" s="37"/>
      <c r="H45" s="37"/>
      <c r="I45" s="34"/>
    </row>
    <row r="46" spans="3:9" s="9" customFormat="1">
      <c r="C46" s="31"/>
      <c r="D46" s="14"/>
      <c r="E46" s="15"/>
      <c r="F46" s="15"/>
      <c r="G46" s="15"/>
      <c r="H46" s="15"/>
      <c r="I46" s="35"/>
    </row>
    <row r="47" spans="3:9" s="9" customFormat="1">
      <c r="C47" s="31">
        <v>10</v>
      </c>
      <c r="D47" s="14" t="s">
        <v>119</v>
      </c>
      <c r="E47" s="15">
        <v>0.5</v>
      </c>
      <c r="F47" s="15">
        <v>1</v>
      </c>
      <c r="G47" s="15">
        <f>SUM(E47:F47)*$G$4</f>
        <v>0.15000000000000002</v>
      </c>
      <c r="H47" s="15">
        <f>SUM(E47:F47)*$H$4</f>
        <v>0.60000000000000009</v>
      </c>
      <c r="I47" s="35"/>
    </row>
    <row r="48" spans="3:9" s="9" customFormat="1">
      <c r="C48" s="31"/>
      <c r="D48" s="14" t="s">
        <v>120</v>
      </c>
      <c r="E48" s="37"/>
      <c r="F48" s="37"/>
      <c r="G48" s="37"/>
      <c r="H48" s="37"/>
      <c r="I48" s="35"/>
    </row>
    <row r="49" spans="3:9" s="9" customFormat="1">
      <c r="C49" s="31"/>
      <c r="D49" s="14" t="s">
        <v>121</v>
      </c>
      <c r="E49" s="15">
        <v>0.5</v>
      </c>
      <c r="F49" s="15">
        <v>1</v>
      </c>
      <c r="G49" s="37"/>
      <c r="H49" s="37"/>
      <c r="I49" s="35"/>
    </row>
    <row r="50" spans="3:9" s="9" customFormat="1">
      <c r="C50" s="31"/>
      <c r="D50" s="14" t="s">
        <v>122</v>
      </c>
      <c r="E50" s="37"/>
      <c r="F50" s="37"/>
      <c r="G50" s="37"/>
      <c r="H50" s="37"/>
      <c r="I50" s="35"/>
    </row>
    <row r="51" spans="3:9" s="9" customFormat="1">
      <c r="C51" s="31"/>
      <c r="D51" s="14"/>
      <c r="E51" s="15"/>
      <c r="F51" s="15"/>
      <c r="G51" s="15"/>
      <c r="H51" s="15"/>
      <c r="I51" s="35"/>
    </row>
    <row r="52" spans="3:9">
      <c r="C52" s="32"/>
      <c r="D52" s="21" t="s">
        <v>7</v>
      </c>
      <c r="E52" s="5">
        <f>SUM(E7:E51)</f>
        <v>14.75</v>
      </c>
      <c r="F52" s="5">
        <f>SUM(F7:F51)</f>
        <v>40</v>
      </c>
      <c r="G52" s="5">
        <f>SUM(G7:G51)</f>
        <v>5.3624999999999998</v>
      </c>
      <c r="H52" s="5">
        <f>SUM(H7:H51)</f>
        <v>12.897500000000003</v>
      </c>
      <c r="I52" s="36"/>
    </row>
    <row r="53" spans="3:9">
      <c r="C53" s="32"/>
      <c r="D53" s="22"/>
      <c r="E53" s="5"/>
      <c r="F53" s="5"/>
      <c r="G53" s="5"/>
      <c r="H53" s="5"/>
      <c r="I53" s="36"/>
    </row>
    <row r="54" spans="3:9">
      <c r="C54" s="32">
        <v>11</v>
      </c>
      <c r="D54" s="20" t="s">
        <v>131</v>
      </c>
      <c r="E54" s="5"/>
      <c r="F54" s="5"/>
      <c r="G54" s="5"/>
      <c r="H54" s="5"/>
      <c r="I54" s="36"/>
    </row>
    <row r="55" spans="3:9">
      <c r="C55" s="32"/>
      <c r="D55" s="18" t="s">
        <v>106</v>
      </c>
      <c r="E55" s="5">
        <f>E52</f>
        <v>14.75</v>
      </c>
      <c r="F55" s="5">
        <f>F52</f>
        <v>40</v>
      </c>
      <c r="G55" s="5">
        <f>G52</f>
        <v>5.3624999999999998</v>
      </c>
      <c r="H55" s="5">
        <f>H52</f>
        <v>12.897500000000003</v>
      </c>
      <c r="I55" s="36"/>
    </row>
    <row r="56" spans="3:9" hidden="1">
      <c r="C56" s="32"/>
      <c r="D56" s="18"/>
      <c r="E56" s="5">
        <v>0.5</v>
      </c>
      <c r="F56" s="5">
        <v>0.15</v>
      </c>
      <c r="G56" s="5"/>
      <c r="H56" s="5"/>
      <c r="I56" s="36"/>
    </row>
    <row r="57" spans="3:9">
      <c r="C57" s="32"/>
      <c r="D57" s="18" t="s">
        <v>107</v>
      </c>
      <c r="E57" s="5">
        <f>E55*$E$56/2</f>
        <v>3.6875</v>
      </c>
      <c r="F57" s="5">
        <f>F55*$F$56</f>
        <v>6</v>
      </c>
      <c r="G57" s="5">
        <f>G55</f>
        <v>5.3624999999999998</v>
      </c>
      <c r="H57" s="5">
        <v>0</v>
      </c>
      <c r="I57" s="11"/>
    </row>
    <row r="58" spans="3:9">
      <c r="C58" s="32"/>
      <c r="D58" s="18" t="s">
        <v>108</v>
      </c>
      <c r="E58" s="5">
        <f>E55*$E$56</f>
        <v>7.375</v>
      </c>
      <c r="F58" s="5">
        <f>F52</f>
        <v>40</v>
      </c>
      <c r="G58" s="5">
        <f>G52</f>
        <v>5.3624999999999998</v>
      </c>
      <c r="H58" s="5">
        <f>H52</f>
        <v>12.897500000000003</v>
      </c>
      <c r="I58" s="11"/>
    </row>
    <row r="59" spans="3:9">
      <c r="C59" s="32"/>
      <c r="D59" s="18" t="s">
        <v>109</v>
      </c>
      <c r="E59" s="5">
        <f>E58*$E$56</f>
        <v>3.6875</v>
      </c>
      <c r="F59" s="5">
        <f>F58*$F$56</f>
        <v>6</v>
      </c>
      <c r="G59" s="5">
        <f>G52</f>
        <v>5.3624999999999998</v>
      </c>
      <c r="H59" s="5">
        <v>0</v>
      </c>
      <c r="I59" s="11"/>
    </row>
    <row r="60" spans="3:9">
      <c r="C60" s="32"/>
      <c r="D60" s="20"/>
      <c r="E60" s="5"/>
      <c r="F60" s="5"/>
      <c r="G60" s="5"/>
      <c r="H60" s="5"/>
      <c r="I60" s="11"/>
    </row>
    <row r="61" spans="3:9">
      <c r="C61" s="32"/>
      <c r="D61" s="18" t="s">
        <v>113</v>
      </c>
      <c r="E61" s="15"/>
      <c r="F61" s="15">
        <v>1</v>
      </c>
      <c r="G61" s="15">
        <f>SUM(E61:F61)*$G$4</f>
        <v>0.1</v>
      </c>
      <c r="H61" s="15">
        <f>SUM(E61:F61)*$H$4</f>
        <v>0.4</v>
      </c>
      <c r="I61" s="11"/>
    </row>
    <row r="62" spans="3:9">
      <c r="C62" s="32"/>
      <c r="D62" s="18" t="s">
        <v>114</v>
      </c>
      <c r="E62" s="5"/>
      <c r="F62" s="15">
        <v>1</v>
      </c>
      <c r="G62" s="15">
        <f>SUM(E62:F62)*$G$4</f>
        <v>0.1</v>
      </c>
      <c r="H62" s="15">
        <f>SUM(E62:F62)*$H$4</f>
        <v>0.4</v>
      </c>
      <c r="I62" s="11"/>
    </row>
    <row r="63" spans="3:9">
      <c r="C63" s="32"/>
      <c r="D63" s="20"/>
      <c r="E63" s="5"/>
      <c r="F63" s="5"/>
      <c r="G63" s="5"/>
      <c r="H63" s="5"/>
      <c r="I63" s="11"/>
    </row>
    <row r="64" spans="3:9">
      <c r="C64" s="32"/>
      <c r="D64" s="20" t="s">
        <v>126</v>
      </c>
      <c r="E64" s="5">
        <f>SUM(E55:H62)</f>
        <v>172.39500000000004</v>
      </c>
      <c r="F64" s="5"/>
      <c r="G64" s="5"/>
      <c r="H64" s="5"/>
      <c r="I64" s="11"/>
    </row>
    <row r="65" spans="2:9">
      <c r="C65" s="32"/>
      <c r="D65" s="20"/>
      <c r="E65" s="5"/>
      <c r="F65" s="5"/>
      <c r="G65" s="5"/>
      <c r="H65" s="5"/>
      <c r="I65" s="11"/>
    </row>
    <row r="66" spans="2:9">
      <c r="C66" s="32">
        <v>12</v>
      </c>
      <c r="D66" s="20" t="s">
        <v>10</v>
      </c>
      <c r="E66" s="5"/>
      <c r="F66" s="5"/>
      <c r="G66" s="5"/>
      <c r="H66" s="5"/>
      <c r="I66" s="11"/>
    </row>
    <row r="67" spans="2:9">
      <c r="B67" s="8">
        <v>0.3</v>
      </c>
      <c r="C67" s="32"/>
      <c r="D67" s="18" t="s">
        <v>124</v>
      </c>
      <c r="E67" s="5">
        <f>SUM(E55:H55,E58:H58,E61:H62)*B67</f>
        <v>42.493500000000004</v>
      </c>
      <c r="F67" s="5"/>
      <c r="G67" s="5"/>
      <c r="H67" s="5"/>
      <c r="I67" s="11"/>
    </row>
    <row r="68" spans="2:9">
      <c r="B68" s="8">
        <v>0.15</v>
      </c>
      <c r="C68" s="32"/>
      <c r="D68" s="18" t="s">
        <v>125</v>
      </c>
      <c r="E68" s="5">
        <f>SUM(E57:H57,E59:H59)*B68</f>
        <v>4.5149999999999997</v>
      </c>
      <c r="F68" s="5"/>
      <c r="G68" s="5"/>
      <c r="H68" s="5"/>
      <c r="I68" s="11"/>
    </row>
    <row r="69" spans="2:9">
      <c r="C69" s="32"/>
      <c r="D69" s="18"/>
      <c r="E69" s="5"/>
      <c r="F69" s="5"/>
      <c r="G69" s="5"/>
      <c r="H69" s="5"/>
      <c r="I69" s="11"/>
    </row>
    <row r="70" spans="2:9">
      <c r="C70" s="32">
        <v>13</v>
      </c>
      <c r="D70" s="20" t="s">
        <v>12</v>
      </c>
      <c r="E70" s="6">
        <v>10</v>
      </c>
      <c r="F70" s="5"/>
      <c r="G70" s="5"/>
      <c r="H70" s="5"/>
      <c r="I70" s="11"/>
    </row>
    <row r="71" spans="2:9">
      <c r="C71" s="32">
        <v>14</v>
      </c>
      <c r="D71" s="20" t="s">
        <v>79</v>
      </c>
      <c r="E71" s="6">
        <v>10</v>
      </c>
      <c r="F71" s="5"/>
      <c r="G71" s="5"/>
      <c r="H71" s="5"/>
      <c r="I71" s="11"/>
    </row>
    <row r="72" spans="2:9">
      <c r="C72" s="32"/>
      <c r="D72" s="20"/>
      <c r="E72" s="6"/>
      <c r="F72" s="5"/>
      <c r="G72" s="5"/>
      <c r="H72" s="5"/>
      <c r="I72" s="11"/>
    </row>
    <row r="73" spans="2:9">
      <c r="C73" s="32">
        <v>15</v>
      </c>
      <c r="D73" s="20" t="s">
        <v>51</v>
      </c>
      <c r="E73" s="6">
        <v>10</v>
      </c>
      <c r="F73" s="5"/>
      <c r="G73" s="5"/>
      <c r="H73" s="5"/>
      <c r="I73" s="11"/>
    </row>
    <row r="74" spans="2:9">
      <c r="C74" s="32">
        <v>16</v>
      </c>
      <c r="D74" s="23" t="s">
        <v>52</v>
      </c>
      <c r="E74" s="5"/>
      <c r="F74" s="5"/>
      <c r="G74" s="5"/>
      <c r="H74" s="5"/>
      <c r="I74" s="36"/>
    </row>
    <row r="75" spans="2:9">
      <c r="C75" s="32"/>
      <c r="D75" s="23"/>
      <c r="E75" s="5"/>
      <c r="F75" s="5"/>
      <c r="G75" s="5"/>
      <c r="H75" s="5"/>
      <c r="I75" s="36"/>
    </row>
    <row r="76" spans="2:9">
      <c r="C76" s="32">
        <v>17</v>
      </c>
      <c r="D76" s="22" t="s">
        <v>6</v>
      </c>
      <c r="E76" s="5">
        <f>SUM(E55:E73)*I76</f>
        <v>27.940350000000002</v>
      </c>
      <c r="F76" s="5"/>
      <c r="G76" s="5"/>
      <c r="H76" s="5"/>
      <c r="I76" s="11">
        <v>0.1</v>
      </c>
    </row>
    <row r="77" spans="2:9">
      <c r="C77" s="32">
        <v>18</v>
      </c>
      <c r="D77" s="23" t="s">
        <v>5</v>
      </c>
      <c r="E77" s="12">
        <f>SUM(E55:E76)*I77</f>
        <v>30.734385000000003</v>
      </c>
      <c r="F77" s="5"/>
      <c r="G77" s="5"/>
      <c r="H77" s="5"/>
      <c r="I77" s="57">
        <v>0.1</v>
      </c>
    </row>
    <row r="78" spans="2:9">
      <c r="C78" s="75">
        <v>19</v>
      </c>
      <c r="D78" s="77" t="s">
        <v>4</v>
      </c>
      <c r="E78" s="5">
        <f>SUM(E64:E77)</f>
        <v>308.07823500000006</v>
      </c>
      <c r="F78" s="5"/>
      <c r="G78" s="5"/>
      <c r="H78" s="5"/>
      <c r="I78" s="26" t="s">
        <v>3</v>
      </c>
    </row>
    <row r="79" spans="2:9" ht="15.75" thickBot="1">
      <c r="C79" s="76"/>
      <c r="D79" s="78"/>
      <c r="E79" s="7">
        <f>E78/D4</f>
        <v>14.329220232558143</v>
      </c>
      <c r="F79" s="7"/>
      <c r="G79" s="7"/>
      <c r="H79" s="7"/>
      <c r="I79" s="10" t="s">
        <v>0</v>
      </c>
    </row>
    <row r="81" spans="3:8" s="1" customFormat="1">
      <c r="C81" s="28"/>
      <c r="E81" s="4"/>
      <c r="F81" s="4"/>
      <c r="G81" s="4"/>
      <c r="H81" s="4"/>
    </row>
    <row r="82" spans="3:8" s="1" customFormat="1">
      <c r="C82" s="28"/>
      <c r="E82" s="4"/>
      <c r="F82" s="4"/>
      <c r="G82" s="4"/>
      <c r="H82" s="4"/>
    </row>
    <row r="83" spans="3:8" s="1" customFormat="1">
      <c r="C83" s="28"/>
      <c r="E83" s="4"/>
      <c r="F83" s="4"/>
      <c r="G83" s="4"/>
      <c r="H83" s="4"/>
    </row>
    <row r="84" spans="3:8" s="1" customFormat="1">
      <c r="C84" s="28"/>
      <c r="E84" s="4"/>
      <c r="F84" s="4"/>
      <c r="G84" s="4"/>
      <c r="H84" s="4"/>
    </row>
    <row r="85" spans="3:8" s="1" customFormat="1">
      <c r="C85" s="28"/>
      <c r="E85" s="4"/>
      <c r="F85" s="4"/>
      <c r="G85" s="4"/>
      <c r="H85" s="4"/>
    </row>
    <row r="86" spans="3:8" s="1" customFormat="1">
      <c r="C86" s="79" t="s">
        <v>13</v>
      </c>
      <c r="D86" s="80"/>
      <c r="E86" s="80"/>
      <c r="F86" s="81"/>
      <c r="G86" s="4"/>
      <c r="H86" s="4"/>
    </row>
    <row r="87" spans="3:8" s="1" customFormat="1" ht="30" customHeight="1">
      <c r="C87" s="33">
        <v>1</v>
      </c>
      <c r="D87" s="82" t="s">
        <v>110</v>
      </c>
      <c r="E87" s="83"/>
      <c r="F87" s="84"/>
      <c r="G87" s="4"/>
      <c r="H87" s="4"/>
    </row>
    <row r="88" spans="3:8" s="1" customFormat="1" ht="15" customHeight="1">
      <c r="C88" s="33">
        <v>2</v>
      </c>
      <c r="D88" s="72" t="s">
        <v>111</v>
      </c>
      <c r="E88" s="72"/>
      <c r="F88" s="72"/>
      <c r="G88" s="4"/>
      <c r="H88" s="4"/>
    </row>
    <row r="89" spans="3:8" s="1" customFormat="1" ht="15" customHeight="1">
      <c r="C89" s="33">
        <v>3</v>
      </c>
      <c r="D89" s="72" t="s">
        <v>112</v>
      </c>
      <c r="E89" s="72"/>
      <c r="F89" s="72"/>
      <c r="G89" s="4"/>
      <c r="H89" s="4"/>
    </row>
    <row r="90" spans="3:8" s="1" customFormat="1" ht="15" customHeight="1">
      <c r="C90" s="33">
        <v>4</v>
      </c>
      <c r="D90" s="72"/>
      <c r="E90" s="72"/>
      <c r="F90" s="72"/>
      <c r="G90" s="4"/>
      <c r="H90" s="4"/>
    </row>
  </sheetData>
  <mergeCells count="8">
    <mergeCell ref="D89:F89"/>
    <mergeCell ref="D90:F90"/>
    <mergeCell ref="D5:I5"/>
    <mergeCell ref="C78:C79"/>
    <mergeCell ref="D78:D79"/>
    <mergeCell ref="C86:F86"/>
    <mergeCell ref="D87:F87"/>
    <mergeCell ref="D88:F88"/>
  </mergeCells>
  <phoneticPr fontId="7"/>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D7:AG85"/>
  <sheetViews>
    <sheetView topLeftCell="S61" workbookViewId="0">
      <selection activeCell="T78" sqref="T78"/>
    </sheetView>
  </sheetViews>
  <sheetFormatPr defaultRowHeight="15"/>
  <cols>
    <col min="18" max="18" width="14.85546875" customWidth="1"/>
  </cols>
  <sheetData>
    <row r="7" spans="4:9">
      <c r="E7" t="s">
        <v>15</v>
      </c>
      <c r="F7" t="s">
        <v>16</v>
      </c>
      <c r="G7" t="s">
        <v>17</v>
      </c>
      <c r="H7" t="s">
        <v>36</v>
      </c>
      <c r="I7" t="s">
        <v>37</v>
      </c>
    </row>
    <row r="8" spans="4:9">
      <c r="D8" t="s">
        <v>20</v>
      </c>
      <c r="E8">
        <v>136</v>
      </c>
      <c r="F8">
        <v>112</v>
      </c>
      <c r="G8">
        <v>8</v>
      </c>
      <c r="H8">
        <v>40</v>
      </c>
      <c r="I8">
        <v>24</v>
      </c>
    </row>
    <row r="9" spans="4:9">
      <c r="D9" t="s">
        <v>21</v>
      </c>
      <c r="E9">
        <v>56</v>
      </c>
      <c r="F9">
        <v>160</v>
      </c>
      <c r="G9">
        <v>24</v>
      </c>
    </row>
    <row r="10" spans="4:9">
      <c r="D10" t="s">
        <v>22</v>
      </c>
      <c r="E10">
        <v>56</v>
      </c>
      <c r="F10">
        <v>160</v>
      </c>
      <c r="G10">
        <v>24</v>
      </c>
    </row>
    <row r="11" spans="4:9">
      <c r="D11" t="s">
        <v>23</v>
      </c>
      <c r="E11">
        <v>136</v>
      </c>
      <c r="G11">
        <v>32</v>
      </c>
      <c r="H11">
        <v>168</v>
      </c>
      <c r="I11">
        <v>24</v>
      </c>
    </row>
    <row r="12" spans="4:9">
      <c r="D12" t="s">
        <v>24</v>
      </c>
      <c r="E12">
        <v>96</v>
      </c>
    </row>
    <row r="13" spans="4:9">
      <c r="D13" t="s">
        <v>25</v>
      </c>
      <c r="E13">
        <v>80</v>
      </c>
    </row>
    <row r="14" spans="4:9">
      <c r="D14" t="s">
        <v>26</v>
      </c>
      <c r="E14">
        <v>80</v>
      </c>
    </row>
    <row r="15" spans="4:9">
      <c r="D15" t="s">
        <v>27</v>
      </c>
      <c r="E15">
        <v>56</v>
      </c>
      <c r="F15">
        <v>160</v>
      </c>
      <c r="G15">
        <v>24</v>
      </c>
    </row>
    <row r="16" spans="4:9">
      <c r="D16" t="s">
        <v>28</v>
      </c>
      <c r="E16">
        <v>56</v>
      </c>
      <c r="F16">
        <v>160</v>
      </c>
      <c r="G16">
        <v>24</v>
      </c>
    </row>
    <row r="17" spans="4:16">
      <c r="D17" t="s">
        <v>29</v>
      </c>
      <c r="E17">
        <v>56</v>
      </c>
      <c r="F17">
        <v>160</v>
      </c>
      <c r="G17">
        <v>24</v>
      </c>
    </row>
    <row r="18" spans="4:16">
      <c r="D18" t="s">
        <v>30</v>
      </c>
      <c r="F18">
        <v>112</v>
      </c>
      <c r="G18">
        <v>8</v>
      </c>
    </row>
    <row r="19" spans="4:16">
      <c r="D19" t="s">
        <v>31</v>
      </c>
      <c r="F19">
        <v>8</v>
      </c>
      <c r="G19">
        <v>184</v>
      </c>
      <c r="H19">
        <v>128</v>
      </c>
    </row>
    <row r="20" spans="4:16">
      <c r="D20" t="s">
        <v>32</v>
      </c>
      <c r="F20">
        <v>8</v>
      </c>
      <c r="G20">
        <v>152</v>
      </c>
    </row>
    <row r="21" spans="4:16">
      <c r="D21" t="s">
        <v>33</v>
      </c>
      <c r="F21">
        <v>8</v>
      </c>
      <c r="G21">
        <v>152</v>
      </c>
    </row>
    <row r="22" spans="4:16">
      <c r="D22" t="s">
        <v>34</v>
      </c>
      <c r="E22">
        <v>56</v>
      </c>
      <c r="F22">
        <v>160</v>
      </c>
      <c r="G22">
        <v>24</v>
      </c>
    </row>
    <row r="23" spans="4:16">
      <c r="D23" t="s">
        <v>35</v>
      </c>
      <c r="E23">
        <v>56</v>
      </c>
      <c r="F23">
        <v>160</v>
      </c>
      <c r="G23">
        <v>24</v>
      </c>
    </row>
    <row r="28" spans="4:16">
      <c r="E28" t="s">
        <v>15</v>
      </c>
      <c r="F28" t="s">
        <v>16</v>
      </c>
      <c r="G28" t="s">
        <v>17</v>
      </c>
      <c r="H28" t="s">
        <v>36</v>
      </c>
      <c r="I28" t="s">
        <v>37</v>
      </c>
      <c r="L28" t="s">
        <v>15</v>
      </c>
      <c r="M28" t="s">
        <v>16</v>
      </c>
      <c r="N28" t="s">
        <v>17</v>
      </c>
      <c r="O28" t="s">
        <v>36</v>
      </c>
      <c r="P28" t="s">
        <v>37</v>
      </c>
    </row>
    <row r="29" spans="4:16">
      <c r="D29" t="s">
        <v>20</v>
      </c>
      <c r="E29">
        <f>E8/160</f>
        <v>0.85</v>
      </c>
      <c r="F29">
        <f>F8/160</f>
        <v>0.7</v>
      </c>
      <c r="G29">
        <f>G8/160</f>
        <v>0.05</v>
      </c>
      <c r="H29">
        <f>H8/160</f>
        <v>0.25</v>
      </c>
      <c r="I29">
        <f>I8/160</f>
        <v>0.15</v>
      </c>
      <c r="K29" t="s">
        <v>20</v>
      </c>
      <c r="L29">
        <v>0.85</v>
      </c>
      <c r="M29">
        <v>0.7</v>
      </c>
      <c r="N29">
        <v>0.05</v>
      </c>
      <c r="O29">
        <v>0.25</v>
      </c>
      <c r="P29">
        <v>0.15</v>
      </c>
    </row>
    <row r="30" spans="4:16">
      <c r="D30" t="s">
        <v>21</v>
      </c>
      <c r="E30">
        <f t="shared" ref="E30:I44" si="0">E9/160</f>
        <v>0.35</v>
      </c>
      <c r="F30">
        <f t="shared" si="0"/>
        <v>1</v>
      </c>
      <c r="G30">
        <f t="shared" si="0"/>
        <v>0.15</v>
      </c>
      <c r="H30">
        <f t="shared" si="0"/>
        <v>0</v>
      </c>
      <c r="I30">
        <f t="shared" si="0"/>
        <v>0</v>
      </c>
      <c r="K30" t="s">
        <v>21</v>
      </c>
      <c r="L30">
        <v>0.35</v>
      </c>
      <c r="M30">
        <v>1</v>
      </c>
      <c r="N30">
        <v>0.15</v>
      </c>
      <c r="O30">
        <v>0</v>
      </c>
      <c r="P30">
        <v>0</v>
      </c>
    </row>
    <row r="31" spans="4:16">
      <c r="D31" t="s">
        <v>22</v>
      </c>
      <c r="E31">
        <f t="shared" si="0"/>
        <v>0.35</v>
      </c>
      <c r="F31">
        <f t="shared" si="0"/>
        <v>1</v>
      </c>
      <c r="G31">
        <f t="shared" si="0"/>
        <v>0.15</v>
      </c>
      <c r="H31">
        <f t="shared" si="0"/>
        <v>0</v>
      </c>
      <c r="I31">
        <f t="shared" si="0"/>
        <v>0</v>
      </c>
      <c r="K31" t="s">
        <v>22</v>
      </c>
      <c r="L31">
        <v>0.35</v>
      </c>
      <c r="M31">
        <v>1</v>
      </c>
      <c r="N31">
        <v>0.15</v>
      </c>
      <c r="O31">
        <v>0</v>
      </c>
      <c r="P31">
        <v>0</v>
      </c>
    </row>
    <row r="32" spans="4:16">
      <c r="D32" t="s">
        <v>23</v>
      </c>
      <c r="E32">
        <f t="shared" si="0"/>
        <v>0.85</v>
      </c>
      <c r="F32">
        <f t="shared" si="0"/>
        <v>0</v>
      </c>
      <c r="G32">
        <f t="shared" si="0"/>
        <v>0.2</v>
      </c>
      <c r="H32">
        <f t="shared" si="0"/>
        <v>1.05</v>
      </c>
      <c r="I32">
        <f t="shared" si="0"/>
        <v>0.15</v>
      </c>
      <c r="K32" t="s">
        <v>23</v>
      </c>
      <c r="L32">
        <v>0.85</v>
      </c>
      <c r="M32">
        <v>0</v>
      </c>
      <c r="N32">
        <v>0.2</v>
      </c>
      <c r="O32">
        <v>1.05</v>
      </c>
      <c r="P32">
        <v>0.15</v>
      </c>
    </row>
    <row r="33" spans="4:18">
      <c r="D33" t="s">
        <v>24</v>
      </c>
      <c r="E33">
        <f t="shared" si="0"/>
        <v>0.6</v>
      </c>
      <c r="F33">
        <f t="shared" si="0"/>
        <v>0</v>
      </c>
      <c r="G33">
        <f t="shared" si="0"/>
        <v>0</v>
      </c>
      <c r="H33">
        <f t="shared" si="0"/>
        <v>0</v>
      </c>
      <c r="I33">
        <f t="shared" si="0"/>
        <v>0</v>
      </c>
      <c r="K33" t="s">
        <v>24</v>
      </c>
      <c r="L33">
        <v>0.6</v>
      </c>
      <c r="M33">
        <v>0</v>
      </c>
      <c r="N33">
        <v>0</v>
      </c>
      <c r="O33">
        <v>0</v>
      </c>
      <c r="P33">
        <v>0</v>
      </c>
    </row>
    <row r="34" spans="4:18">
      <c r="D34" t="s">
        <v>25</v>
      </c>
      <c r="E34">
        <f t="shared" si="0"/>
        <v>0.5</v>
      </c>
      <c r="F34">
        <f t="shared" si="0"/>
        <v>0</v>
      </c>
      <c r="G34">
        <f t="shared" si="0"/>
        <v>0</v>
      </c>
      <c r="H34">
        <f t="shared" si="0"/>
        <v>0</v>
      </c>
      <c r="I34">
        <f t="shared" si="0"/>
        <v>0</v>
      </c>
      <c r="K34" t="s">
        <v>25</v>
      </c>
      <c r="L34">
        <v>0.5</v>
      </c>
      <c r="M34">
        <v>0</v>
      </c>
      <c r="N34">
        <v>0</v>
      </c>
      <c r="O34">
        <v>0</v>
      </c>
      <c r="P34">
        <v>0</v>
      </c>
    </row>
    <row r="35" spans="4:18">
      <c r="D35" t="s">
        <v>26</v>
      </c>
      <c r="E35">
        <f t="shared" si="0"/>
        <v>0.5</v>
      </c>
      <c r="F35">
        <f t="shared" si="0"/>
        <v>0</v>
      </c>
      <c r="G35">
        <f t="shared" si="0"/>
        <v>0</v>
      </c>
      <c r="H35">
        <f t="shared" si="0"/>
        <v>0</v>
      </c>
      <c r="I35">
        <f t="shared" si="0"/>
        <v>0</v>
      </c>
      <c r="K35" t="s">
        <v>26</v>
      </c>
      <c r="L35">
        <v>0.5</v>
      </c>
      <c r="M35">
        <v>0</v>
      </c>
      <c r="N35">
        <v>0</v>
      </c>
      <c r="O35">
        <v>0</v>
      </c>
      <c r="P35">
        <v>0</v>
      </c>
    </row>
    <row r="36" spans="4:18">
      <c r="D36" t="s">
        <v>27</v>
      </c>
      <c r="E36">
        <f t="shared" si="0"/>
        <v>0.35</v>
      </c>
      <c r="F36">
        <f t="shared" si="0"/>
        <v>1</v>
      </c>
      <c r="G36">
        <f t="shared" si="0"/>
        <v>0.15</v>
      </c>
      <c r="H36">
        <f t="shared" si="0"/>
        <v>0</v>
      </c>
      <c r="I36">
        <f t="shared" si="0"/>
        <v>0</v>
      </c>
      <c r="K36" t="s">
        <v>27</v>
      </c>
      <c r="L36">
        <v>0.35</v>
      </c>
      <c r="M36">
        <v>1</v>
      </c>
      <c r="N36">
        <v>0.15</v>
      </c>
      <c r="O36">
        <v>0</v>
      </c>
      <c r="P36">
        <v>0</v>
      </c>
    </row>
    <row r="37" spans="4:18">
      <c r="D37" t="s">
        <v>28</v>
      </c>
      <c r="E37">
        <f t="shared" si="0"/>
        <v>0.35</v>
      </c>
      <c r="F37">
        <f t="shared" si="0"/>
        <v>1</v>
      </c>
      <c r="G37">
        <f t="shared" si="0"/>
        <v>0.15</v>
      </c>
      <c r="H37">
        <f t="shared" si="0"/>
        <v>0</v>
      </c>
      <c r="I37">
        <f t="shared" si="0"/>
        <v>0</v>
      </c>
      <c r="K37" t="s">
        <v>28</v>
      </c>
      <c r="L37">
        <v>0.35</v>
      </c>
      <c r="M37">
        <v>1</v>
      </c>
      <c r="N37">
        <v>0.15</v>
      </c>
      <c r="O37">
        <v>0</v>
      </c>
      <c r="P37">
        <v>0</v>
      </c>
    </row>
    <row r="38" spans="4:18">
      <c r="D38" t="s">
        <v>29</v>
      </c>
      <c r="E38">
        <f t="shared" si="0"/>
        <v>0.35</v>
      </c>
      <c r="F38">
        <f t="shared" si="0"/>
        <v>1</v>
      </c>
      <c r="G38">
        <f t="shared" si="0"/>
        <v>0.15</v>
      </c>
      <c r="H38">
        <f t="shared" si="0"/>
        <v>0</v>
      </c>
      <c r="I38">
        <f t="shared" si="0"/>
        <v>0</v>
      </c>
      <c r="K38" t="s">
        <v>29</v>
      </c>
      <c r="L38">
        <v>0.35</v>
      </c>
      <c r="M38">
        <v>1</v>
      </c>
      <c r="N38">
        <v>0.15</v>
      </c>
      <c r="O38">
        <v>0</v>
      </c>
      <c r="P38">
        <v>0</v>
      </c>
    </row>
    <row r="39" spans="4:18">
      <c r="D39" t="s">
        <v>30</v>
      </c>
      <c r="E39">
        <f t="shared" si="0"/>
        <v>0</v>
      </c>
      <c r="F39">
        <f t="shared" si="0"/>
        <v>0.7</v>
      </c>
      <c r="G39">
        <f t="shared" si="0"/>
        <v>0.05</v>
      </c>
      <c r="H39">
        <f t="shared" si="0"/>
        <v>0</v>
      </c>
      <c r="I39">
        <f t="shared" si="0"/>
        <v>0</v>
      </c>
      <c r="K39" t="s">
        <v>30</v>
      </c>
      <c r="L39">
        <v>0</v>
      </c>
      <c r="M39">
        <v>0.7</v>
      </c>
      <c r="N39">
        <v>0.05</v>
      </c>
      <c r="O39">
        <v>0</v>
      </c>
      <c r="P39">
        <v>0</v>
      </c>
    </row>
    <row r="40" spans="4:18">
      <c r="D40" t="s">
        <v>31</v>
      </c>
      <c r="E40">
        <f t="shared" si="0"/>
        <v>0</v>
      </c>
      <c r="F40">
        <f t="shared" si="0"/>
        <v>0.05</v>
      </c>
      <c r="G40">
        <f t="shared" si="0"/>
        <v>1.1499999999999999</v>
      </c>
      <c r="H40">
        <f t="shared" si="0"/>
        <v>0.8</v>
      </c>
      <c r="I40">
        <f t="shared" si="0"/>
        <v>0</v>
      </c>
      <c r="K40" t="s">
        <v>31</v>
      </c>
      <c r="L40">
        <v>0</v>
      </c>
      <c r="M40">
        <v>0.05</v>
      </c>
      <c r="N40">
        <v>1.1499999999999999</v>
      </c>
      <c r="O40">
        <v>0.8</v>
      </c>
      <c r="P40">
        <v>0</v>
      </c>
    </row>
    <row r="41" spans="4:18">
      <c r="D41" t="s">
        <v>32</v>
      </c>
      <c r="E41">
        <f t="shared" si="0"/>
        <v>0</v>
      </c>
      <c r="F41">
        <f t="shared" si="0"/>
        <v>0.05</v>
      </c>
      <c r="G41">
        <f t="shared" si="0"/>
        <v>0.95</v>
      </c>
      <c r="H41">
        <f t="shared" si="0"/>
        <v>0</v>
      </c>
      <c r="I41">
        <f t="shared" si="0"/>
        <v>0</v>
      </c>
      <c r="K41" t="s">
        <v>32</v>
      </c>
      <c r="L41">
        <v>0</v>
      </c>
      <c r="M41">
        <v>0.05</v>
      </c>
      <c r="N41">
        <v>0.95</v>
      </c>
      <c r="O41">
        <v>0</v>
      </c>
      <c r="P41">
        <v>0</v>
      </c>
    </row>
    <row r="42" spans="4:18">
      <c r="D42" t="s">
        <v>33</v>
      </c>
      <c r="E42">
        <f t="shared" si="0"/>
        <v>0</v>
      </c>
      <c r="F42">
        <f t="shared" si="0"/>
        <v>0.05</v>
      </c>
      <c r="G42">
        <f t="shared" si="0"/>
        <v>0.95</v>
      </c>
      <c r="H42">
        <f t="shared" si="0"/>
        <v>0</v>
      </c>
      <c r="I42">
        <f t="shared" si="0"/>
        <v>0</v>
      </c>
      <c r="K42" t="s">
        <v>33</v>
      </c>
      <c r="L42">
        <v>0</v>
      </c>
      <c r="M42">
        <v>0.05</v>
      </c>
      <c r="N42">
        <v>0.95</v>
      </c>
      <c r="O42">
        <v>0</v>
      </c>
      <c r="P42">
        <v>0</v>
      </c>
    </row>
    <row r="43" spans="4:18">
      <c r="D43" t="s">
        <v>34</v>
      </c>
      <c r="E43">
        <f t="shared" si="0"/>
        <v>0.35</v>
      </c>
      <c r="F43">
        <f t="shared" si="0"/>
        <v>1</v>
      </c>
      <c r="G43">
        <f t="shared" si="0"/>
        <v>0.15</v>
      </c>
      <c r="H43">
        <f t="shared" si="0"/>
        <v>0</v>
      </c>
      <c r="I43">
        <f t="shared" si="0"/>
        <v>0</v>
      </c>
      <c r="K43" t="s">
        <v>34</v>
      </c>
      <c r="L43">
        <v>0.35</v>
      </c>
      <c r="M43">
        <v>1</v>
      </c>
      <c r="N43">
        <v>0.15</v>
      </c>
      <c r="O43">
        <v>0</v>
      </c>
      <c r="P43">
        <v>0</v>
      </c>
    </row>
    <row r="44" spans="4:18">
      <c r="D44" t="s">
        <v>35</v>
      </c>
      <c r="E44">
        <f t="shared" si="0"/>
        <v>0.35</v>
      </c>
      <c r="F44">
        <f t="shared" si="0"/>
        <v>1</v>
      </c>
      <c r="G44">
        <f t="shared" si="0"/>
        <v>0.15</v>
      </c>
      <c r="H44">
        <f t="shared" si="0"/>
        <v>0</v>
      </c>
      <c r="I44">
        <f t="shared" si="0"/>
        <v>0</v>
      </c>
      <c r="K44" t="s">
        <v>35</v>
      </c>
      <c r="L44">
        <v>0.35</v>
      </c>
      <c r="M44">
        <v>1</v>
      </c>
      <c r="N44">
        <v>0.15</v>
      </c>
      <c r="O44">
        <v>0</v>
      </c>
      <c r="P44">
        <v>0</v>
      </c>
    </row>
    <row r="45" spans="4:18">
      <c r="D45" t="s">
        <v>14</v>
      </c>
      <c r="E45">
        <v>0.5</v>
      </c>
      <c r="F45">
        <v>0.5</v>
      </c>
      <c r="G45">
        <v>0.5</v>
      </c>
      <c r="H45">
        <v>0.5</v>
      </c>
      <c r="I45">
        <v>0.5</v>
      </c>
      <c r="K45" t="s">
        <v>14</v>
      </c>
      <c r="L45">
        <v>0.5</v>
      </c>
      <c r="M45">
        <v>0.5</v>
      </c>
      <c r="N45">
        <v>0.5</v>
      </c>
      <c r="O45">
        <v>0.5</v>
      </c>
      <c r="P45">
        <v>0.5</v>
      </c>
    </row>
    <row r="48" spans="4:18">
      <c r="R48" t="s">
        <v>48</v>
      </c>
    </row>
    <row r="49" spans="11:33">
      <c r="L49" t="s">
        <v>15</v>
      </c>
      <c r="M49" t="s">
        <v>16</v>
      </c>
      <c r="N49" t="s">
        <v>17</v>
      </c>
      <c r="O49" t="s">
        <v>36</v>
      </c>
      <c r="P49" t="s">
        <v>37</v>
      </c>
      <c r="T49" t="s">
        <v>15</v>
      </c>
      <c r="U49" t="s">
        <v>16</v>
      </c>
      <c r="V49" t="s">
        <v>17</v>
      </c>
      <c r="W49" t="s">
        <v>36</v>
      </c>
      <c r="X49" t="s">
        <v>37</v>
      </c>
      <c r="AC49" s="2" t="s">
        <v>15</v>
      </c>
      <c r="AD49" s="2" t="s">
        <v>16</v>
      </c>
      <c r="AE49" s="2" t="s">
        <v>17</v>
      </c>
      <c r="AF49" s="2" t="s">
        <v>36</v>
      </c>
      <c r="AG49" s="2" t="s">
        <v>37</v>
      </c>
    </row>
    <row r="50" spans="11:33">
      <c r="K50" t="s">
        <v>20</v>
      </c>
      <c r="L50">
        <v>0.85</v>
      </c>
      <c r="M50">
        <v>0.7</v>
      </c>
      <c r="N50">
        <v>0.05</v>
      </c>
      <c r="O50">
        <v>0.25</v>
      </c>
      <c r="P50">
        <v>0.15</v>
      </c>
      <c r="R50" t="s">
        <v>38</v>
      </c>
      <c r="S50" t="s">
        <v>40</v>
      </c>
      <c r="T50">
        <f>SUM(L50:L52)+SUM(L57:L59)</f>
        <v>2.5999999999999996</v>
      </c>
      <c r="U50">
        <f>SUM(M50:M52)+SUM(M57:M59)</f>
        <v>5.7</v>
      </c>
      <c r="V50">
        <f>SUM(N50:N52)+SUM(N57:N59)</f>
        <v>0.79999999999999993</v>
      </c>
      <c r="W50">
        <f>SUM(O50:O52)+SUM(O57:O59)</f>
        <v>0.25</v>
      </c>
      <c r="X50">
        <f>SUM(P50:P52)+SUM(P57:P59)</f>
        <v>0.15</v>
      </c>
      <c r="AA50" t="s">
        <v>38</v>
      </c>
      <c r="AB50" t="s">
        <v>40</v>
      </c>
      <c r="AC50" s="2">
        <v>2.5</v>
      </c>
      <c r="AD50" s="2">
        <v>5</v>
      </c>
      <c r="AE50" s="2">
        <v>1</v>
      </c>
      <c r="AF50" s="2">
        <v>0.25</v>
      </c>
      <c r="AG50" s="2">
        <v>0.5</v>
      </c>
    </row>
    <row r="51" spans="11:33">
      <c r="K51" t="s">
        <v>21</v>
      </c>
      <c r="L51">
        <v>0.35</v>
      </c>
      <c r="M51">
        <v>1</v>
      </c>
      <c r="N51">
        <v>0.15</v>
      </c>
      <c r="O51">
        <v>0</v>
      </c>
      <c r="P51">
        <v>0</v>
      </c>
      <c r="R51" t="s">
        <v>41</v>
      </c>
      <c r="S51" t="s">
        <v>49</v>
      </c>
      <c r="T51">
        <f>SUM(L53:L54,L64:L65)</f>
        <v>2.15</v>
      </c>
      <c r="U51">
        <f>SUM(M53:M54,M64:M65)</f>
        <v>2</v>
      </c>
      <c r="V51">
        <f>SUM(N53:N54,N64:N65)</f>
        <v>0.5</v>
      </c>
      <c r="W51">
        <f>SUM(O53:O54,O64:O65)</f>
        <v>1.05</v>
      </c>
      <c r="X51">
        <f>SUM(P53:P54,P64:P65)</f>
        <v>0.15</v>
      </c>
      <c r="AA51" t="s">
        <v>47</v>
      </c>
      <c r="AB51" t="s">
        <v>23</v>
      </c>
      <c r="AC51" s="2">
        <v>0.5</v>
      </c>
      <c r="AD51" s="2"/>
      <c r="AE51" s="2"/>
      <c r="AF51" s="2"/>
      <c r="AG51" s="2"/>
    </row>
    <row r="52" spans="11:33">
      <c r="K52" t="s">
        <v>22</v>
      </c>
      <c r="L52">
        <v>0.35</v>
      </c>
      <c r="M52">
        <v>1</v>
      </c>
      <c r="N52">
        <v>0.15</v>
      </c>
      <c r="O52">
        <v>0</v>
      </c>
      <c r="P52">
        <v>0</v>
      </c>
      <c r="R52" t="s">
        <v>39</v>
      </c>
      <c r="S52" t="s">
        <v>45</v>
      </c>
      <c r="T52">
        <f>SUM(L62:L63)</f>
        <v>0</v>
      </c>
      <c r="U52">
        <f>SUM(M62:M63)</f>
        <v>0.1</v>
      </c>
      <c r="V52">
        <f>SUM(N62:N63)</f>
        <v>1.9</v>
      </c>
      <c r="W52">
        <f>SUM(O62:O63)</f>
        <v>0</v>
      </c>
      <c r="X52">
        <f>SUM(P62:P63)</f>
        <v>0</v>
      </c>
      <c r="AA52" t="s">
        <v>41</v>
      </c>
      <c r="AB52" t="s">
        <v>46</v>
      </c>
      <c r="AC52" s="2">
        <v>1.5</v>
      </c>
      <c r="AD52" s="2">
        <v>2</v>
      </c>
      <c r="AE52" s="2">
        <v>0.5</v>
      </c>
      <c r="AF52" s="2">
        <v>1</v>
      </c>
      <c r="AG52" s="2">
        <v>0.5</v>
      </c>
    </row>
    <row r="53" spans="11:33">
      <c r="K53" t="s">
        <v>23</v>
      </c>
      <c r="L53">
        <v>0.85</v>
      </c>
      <c r="M53">
        <v>0</v>
      </c>
      <c r="N53">
        <v>0.2</v>
      </c>
      <c r="O53">
        <v>1.05</v>
      </c>
      <c r="P53">
        <v>0.15</v>
      </c>
      <c r="R53" t="s">
        <v>42</v>
      </c>
      <c r="S53" t="s">
        <v>31</v>
      </c>
      <c r="T53">
        <f>L61</f>
        <v>0</v>
      </c>
      <c r="U53">
        <f>M61</f>
        <v>0.05</v>
      </c>
      <c r="V53">
        <f>N61</f>
        <v>1.1499999999999999</v>
      </c>
      <c r="W53">
        <f>O61</f>
        <v>0.8</v>
      </c>
      <c r="X53">
        <f>P61</f>
        <v>0</v>
      </c>
      <c r="AA53" t="s">
        <v>39</v>
      </c>
      <c r="AB53" t="s">
        <v>45</v>
      </c>
      <c r="AC53" s="2">
        <v>0</v>
      </c>
      <c r="AD53" s="2">
        <v>0</v>
      </c>
      <c r="AE53" s="2">
        <v>1</v>
      </c>
      <c r="AF53" s="2">
        <v>0</v>
      </c>
      <c r="AG53" s="2">
        <v>0</v>
      </c>
    </row>
    <row r="54" spans="11:33">
      <c r="K54" t="s">
        <v>24</v>
      </c>
      <c r="L54">
        <v>0.6</v>
      </c>
      <c r="M54">
        <v>0</v>
      </c>
      <c r="N54">
        <v>0</v>
      </c>
      <c r="O54">
        <v>0</v>
      </c>
      <c r="P54">
        <v>0</v>
      </c>
      <c r="R54" t="s">
        <v>43</v>
      </c>
      <c r="S54" t="s">
        <v>26</v>
      </c>
      <c r="T54">
        <f>L56</f>
        <v>0.5</v>
      </c>
      <c r="U54">
        <f>M56</f>
        <v>0</v>
      </c>
      <c r="V54">
        <f>N56</f>
        <v>0</v>
      </c>
      <c r="W54">
        <f>O56</f>
        <v>0</v>
      </c>
      <c r="X54">
        <f>P56</f>
        <v>0</v>
      </c>
      <c r="AA54" t="s">
        <v>42</v>
      </c>
      <c r="AB54" t="s">
        <v>31</v>
      </c>
      <c r="AC54" s="2">
        <v>0</v>
      </c>
      <c r="AD54" s="2">
        <v>0</v>
      </c>
      <c r="AE54" s="2">
        <v>1</v>
      </c>
      <c r="AF54" s="2">
        <v>1</v>
      </c>
      <c r="AG54" s="2">
        <v>0</v>
      </c>
    </row>
    <row r="55" spans="11:33">
      <c r="K55" t="s">
        <v>25</v>
      </c>
      <c r="L55">
        <v>0.5</v>
      </c>
      <c r="M55">
        <v>0</v>
      </c>
      <c r="N55">
        <v>0</v>
      </c>
      <c r="O55">
        <v>0</v>
      </c>
      <c r="P55">
        <v>0</v>
      </c>
      <c r="R55" t="s">
        <v>44</v>
      </c>
      <c r="S55" t="s">
        <v>50</v>
      </c>
      <c r="T55">
        <f>SUM(L55,L60)</f>
        <v>0.5</v>
      </c>
      <c r="U55">
        <f>SUM(M55,M60)</f>
        <v>0.7</v>
      </c>
      <c r="V55">
        <f>SUM(N55,N60)</f>
        <v>0.05</v>
      </c>
      <c r="W55">
        <f>SUM(O55,O60)</f>
        <v>0</v>
      </c>
      <c r="X55">
        <f>SUM(P55,P60)</f>
        <v>0</v>
      </c>
      <c r="AA55" t="s">
        <v>43</v>
      </c>
      <c r="AB55" t="s">
        <v>26</v>
      </c>
      <c r="AC55" s="2">
        <v>0.5</v>
      </c>
      <c r="AD55" s="2">
        <v>0</v>
      </c>
      <c r="AE55" s="2">
        <v>0</v>
      </c>
      <c r="AF55" s="2">
        <v>0</v>
      </c>
      <c r="AG55" s="2">
        <v>0</v>
      </c>
    </row>
    <row r="56" spans="11:33">
      <c r="K56" t="s">
        <v>26</v>
      </c>
      <c r="L56">
        <v>0.5</v>
      </c>
      <c r="M56">
        <v>0</v>
      </c>
      <c r="N56">
        <v>0</v>
      </c>
      <c r="O56">
        <v>0</v>
      </c>
      <c r="P56">
        <v>0</v>
      </c>
      <c r="R56" t="s">
        <v>14</v>
      </c>
      <c r="T56">
        <v>0.5</v>
      </c>
      <c r="U56">
        <v>0.5</v>
      </c>
      <c r="V56">
        <v>0.5</v>
      </c>
      <c r="W56">
        <v>0.5</v>
      </c>
      <c r="X56">
        <v>0.5</v>
      </c>
      <c r="AA56" t="s">
        <v>44</v>
      </c>
      <c r="AB56" t="s">
        <v>50</v>
      </c>
      <c r="AC56" s="2">
        <v>0.5</v>
      </c>
      <c r="AD56" s="2">
        <v>1</v>
      </c>
      <c r="AE56" s="2">
        <v>0</v>
      </c>
      <c r="AF56" s="2">
        <v>0</v>
      </c>
      <c r="AG56" s="2">
        <v>0</v>
      </c>
    </row>
    <row r="57" spans="11:33">
      <c r="K57" t="s">
        <v>27</v>
      </c>
      <c r="L57">
        <v>0.35</v>
      </c>
      <c r="M57">
        <v>1</v>
      </c>
      <c r="N57">
        <v>0.15</v>
      </c>
      <c r="O57">
        <v>0</v>
      </c>
      <c r="P57">
        <v>0</v>
      </c>
      <c r="AA57" t="s">
        <v>14</v>
      </c>
      <c r="AC57" s="2">
        <v>0.5</v>
      </c>
      <c r="AD57" s="2">
        <v>0.5</v>
      </c>
      <c r="AE57" s="2">
        <v>0.5</v>
      </c>
      <c r="AF57" s="2">
        <v>0.5</v>
      </c>
      <c r="AG57" s="2">
        <v>0.5</v>
      </c>
    </row>
    <row r="58" spans="11:33">
      <c r="K58" t="s">
        <v>28</v>
      </c>
      <c r="L58">
        <v>0.35</v>
      </c>
      <c r="M58">
        <v>1</v>
      </c>
      <c r="N58">
        <v>0.15</v>
      </c>
      <c r="O58">
        <v>0</v>
      </c>
      <c r="P58">
        <v>0</v>
      </c>
      <c r="X58">
        <f>SUM(T50:X56)</f>
        <v>23.6</v>
      </c>
      <c r="AC58" s="2"/>
      <c r="AD58" s="2"/>
      <c r="AE58" s="2"/>
      <c r="AF58" s="2"/>
      <c r="AG58" s="2">
        <f>SUM(AC50:AG57)</f>
        <v>22.75</v>
      </c>
    </row>
    <row r="59" spans="11:33">
      <c r="K59" t="s">
        <v>29</v>
      </c>
      <c r="L59">
        <v>0.35</v>
      </c>
      <c r="M59">
        <v>1</v>
      </c>
      <c r="N59">
        <v>0.15</v>
      </c>
      <c r="O59">
        <v>0</v>
      </c>
      <c r="P59">
        <v>0</v>
      </c>
    </row>
    <row r="60" spans="11:33">
      <c r="K60" t="s">
        <v>30</v>
      </c>
      <c r="L60">
        <v>0</v>
      </c>
      <c r="M60">
        <v>0.7</v>
      </c>
      <c r="N60">
        <v>0.05</v>
      </c>
      <c r="O60">
        <v>0</v>
      </c>
      <c r="P60">
        <v>0</v>
      </c>
      <c r="AC60">
        <f>SUM(AC50:AC57)</f>
        <v>6</v>
      </c>
      <c r="AD60">
        <f>SUM(AD50:AD57)</f>
        <v>8.5</v>
      </c>
      <c r="AE60">
        <f>SUM(AE50:AE57)</f>
        <v>4</v>
      </c>
      <c r="AF60">
        <f>SUM(AF50:AF57)</f>
        <v>2.75</v>
      </c>
      <c r="AG60">
        <f>SUM(AG50:AG57)</f>
        <v>1.5</v>
      </c>
    </row>
    <row r="61" spans="11:33">
      <c r="K61" t="s">
        <v>31</v>
      </c>
      <c r="L61">
        <v>0</v>
      </c>
      <c r="M61">
        <v>0.05</v>
      </c>
      <c r="N61">
        <v>1.1499999999999999</v>
      </c>
      <c r="O61">
        <v>0.8</v>
      </c>
      <c r="P61">
        <v>0</v>
      </c>
    </row>
    <row r="62" spans="11:33">
      <c r="K62" t="s">
        <v>32</v>
      </c>
      <c r="L62">
        <v>0</v>
      </c>
      <c r="M62">
        <v>0.05</v>
      </c>
      <c r="N62">
        <v>0.95</v>
      </c>
      <c r="O62">
        <v>0</v>
      </c>
      <c r="P62">
        <v>0</v>
      </c>
    </row>
    <row r="63" spans="11:33">
      <c r="K63" t="s">
        <v>33</v>
      </c>
      <c r="L63">
        <v>0</v>
      </c>
      <c r="M63">
        <v>0.05</v>
      </c>
      <c r="N63">
        <v>0.95</v>
      </c>
      <c r="O63">
        <v>0</v>
      </c>
      <c r="P63">
        <v>0</v>
      </c>
      <c r="T63" s="13">
        <v>40973</v>
      </c>
      <c r="U63" t="s">
        <v>54</v>
      </c>
    </row>
    <row r="64" spans="11:33">
      <c r="K64" t="s">
        <v>34</v>
      </c>
      <c r="L64">
        <v>0.35</v>
      </c>
      <c r="M64">
        <v>1</v>
      </c>
      <c r="N64">
        <v>0.15</v>
      </c>
      <c r="O64">
        <v>0</v>
      </c>
      <c r="P64">
        <v>0</v>
      </c>
      <c r="T64" s="13">
        <f>T63+7</f>
        <v>40980</v>
      </c>
      <c r="U64" t="s">
        <v>55</v>
      </c>
    </row>
    <row r="65" spans="11:21">
      <c r="K65" t="s">
        <v>35</v>
      </c>
      <c r="L65">
        <v>0.35</v>
      </c>
      <c r="M65">
        <v>1</v>
      </c>
      <c r="N65">
        <v>0.15</v>
      </c>
      <c r="O65">
        <v>0</v>
      </c>
      <c r="P65">
        <v>0</v>
      </c>
      <c r="T65" s="13">
        <f t="shared" ref="T65:T85" si="1">T64+7</f>
        <v>40987</v>
      </c>
      <c r="U65" t="s">
        <v>56</v>
      </c>
    </row>
    <row r="66" spans="11:21">
      <c r="K66" t="s">
        <v>14</v>
      </c>
      <c r="L66">
        <v>0.5</v>
      </c>
      <c r="M66">
        <v>0.5</v>
      </c>
      <c r="N66">
        <v>0.5</v>
      </c>
      <c r="O66">
        <v>0.5</v>
      </c>
      <c r="P66">
        <v>0.5</v>
      </c>
      <c r="T66" s="13">
        <f t="shared" si="1"/>
        <v>40994</v>
      </c>
      <c r="U66" t="s">
        <v>57</v>
      </c>
    </row>
    <row r="67" spans="11:21">
      <c r="T67" s="13">
        <f t="shared" si="1"/>
        <v>41001</v>
      </c>
      <c r="U67" t="s">
        <v>58</v>
      </c>
    </row>
    <row r="68" spans="11:21">
      <c r="T68" s="13">
        <f t="shared" si="1"/>
        <v>41008</v>
      </c>
      <c r="U68" t="s">
        <v>59</v>
      </c>
    </row>
    <row r="69" spans="11:21">
      <c r="T69" s="13">
        <f t="shared" si="1"/>
        <v>41015</v>
      </c>
      <c r="U69" t="s">
        <v>60</v>
      </c>
    </row>
    <row r="70" spans="11:21">
      <c r="T70" s="13">
        <f t="shared" si="1"/>
        <v>41022</v>
      </c>
      <c r="U70" t="s">
        <v>61</v>
      </c>
    </row>
    <row r="71" spans="11:21">
      <c r="T71" s="13">
        <f t="shared" si="1"/>
        <v>41029</v>
      </c>
      <c r="U71" t="s">
        <v>62</v>
      </c>
    </row>
    <row r="72" spans="11:21">
      <c r="T72" s="13">
        <f t="shared" si="1"/>
        <v>41036</v>
      </c>
      <c r="U72" t="s">
        <v>63</v>
      </c>
    </row>
    <row r="73" spans="11:21">
      <c r="T73" s="13">
        <f t="shared" si="1"/>
        <v>41043</v>
      </c>
      <c r="U73" t="s">
        <v>64</v>
      </c>
    </row>
    <row r="74" spans="11:21">
      <c r="T74" s="13">
        <f t="shared" si="1"/>
        <v>41050</v>
      </c>
      <c r="U74" t="s">
        <v>65</v>
      </c>
    </row>
    <row r="75" spans="11:21">
      <c r="T75" s="13">
        <f t="shared" si="1"/>
        <v>41057</v>
      </c>
      <c r="U75" t="s">
        <v>66</v>
      </c>
    </row>
    <row r="76" spans="11:21">
      <c r="T76" s="13">
        <f t="shared" si="1"/>
        <v>41064</v>
      </c>
      <c r="U76" t="s">
        <v>67</v>
      </c>
    </row>
    <row r="77" spans="11:21">
      <c r="T77" s="13">
        <f t="shared" si="1"/>
        <v>41071</v>
      </c>
      <c r="U77" t="s">
        <v>68</v>
      </c>
    </row>
    <row r="78" spans="11:21">
      <c r="T78" s="13">
        <f t="shared" si="1"/>
        <v>41078</v>
      </c>
      <c r="U78" t="s">
        <v>69</v>
      </c>
    </row>
    <row r="79" spans="11:21">
      <c r="T79" s="13">
        <f t="shared" si="1"/>
        <v>41085</v>
      </c>
      <c r="U79" t="s">
        <v>70</v>
      </c>
    </row>
    <row r="80" spans="11:21">
      <c r="T80" s="13">
        <f t="shared" si="1"/>
        <v>41092</v>
      </c>
      <c r="U80" t="s">
        <v>71</v>
      </c>
    </row>
    <row r="81" spans="20:21">
      <c r="T81" s="13">
        <f t="shared" si="1"/>
        <v>41099</v>
      </c>
      <c r="U81" t="s">
        <v>72</v>
      </c>
    </row>
    <row r="82" spans="20:21">
      <c r="T82" s="13">
        <f t="shared" si="1"/>
        <v>41106</v>
      </c>
      <c r="U82" t="s">
        <v>73</v>
      </c>
    </row>
    <row r="83" spans="20:21">
      <c r="T83" s="13">
        <f t="shared" si="1"/>
        <v>41113</v>
      </c>
      <c r="U83" t="s">
        <v>74</v>
      </c>
    </row>
    <row r="84" spans="20:21">
      <c r="T84" s="13">
        <f t="shared" si="1"/>
        <v>41120</v>
      </c>
      <c r="U84" t="s">
        <v>75</v>
      </c>
    </row>
    <row r="85" spans="20:21">
      <c r="T85" s="13">
        <f t="shared" si="1"/>
        <v>41127</v>
      </c>
      <c r="U85" t="s">
        <v>76</v>
      </c>
    </row>
  </sheetData>
  <phoneticPr fontId="7"/>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I67"/>
  <sheetViews>
    <sheetView topLeftCell="B40" zoomScaleNormal="100" workbookViewId="0">
      <selection activeCell="F55" sqref="F55"/>
    </sheetView>
  </sheetViews>
  <sheetFormatPr defaultRowHeight="15"/>
  <cols>
    <col min="1" max="1" width="16.5703125" style="8" customWidth="1"/>
    <col min="2" max="2" width="7.140625" style="8" customWidth="1"/>
    <col min="3" max="3" width="9.85546875" style="28" customWidth="1"/>
    <col min="4" max="4" width="40.28515625" style="3" customWidth="1"/>
    <col min="5" max="5" width="12.28515625" style="4" customWidth="1"/>
    <col min="6" max="7" width="9.42578125" style="4" customWidth="1"/>
    <col min="8" max="8" width="12.7109375" style="4" customWidth="1"/>
    <col min="9" max="9" width="36.28515625" style="1" bestFit="1" customWidth="1"/>
    <col min="10" max="16384" width="9.140625" style="8"/>
  </cols>
  <sheetData>
    <row r="1" spans="1:9">
      <c r="A1" s="38" t="s">
        <v>127</v>
      </c>
      <c r="B1" s="39"/>
      <c r="C1" s="40"/>
      <c r="D1" s="41" t="s">
        <v>154</v>
      </c>
      <c r="E1" s="8"/>
      <c r="F1" s="42" t="s">
        <v>129</v>
      </c>
      <c r="G1" s="42">
        <f>F51</f>
        <v>89.679999999999993</v>
      </c>
      <c r="H1" s="42" t="s">
        <v>130</v>
      </c>
    </row>
    <row r="2" spans="1:9">
      <c r="F2" s="42"/>
      <c r="G2" s="42">
        <f>F52</f>
        <v>4.1711627906976743</v>
      </c>
      <c r="H2" s="42" t="s">
        <v>14</v>
      </c>
    </row>
    <row r="3" spans="1:9" ht="15" customHeight="1"/>
    <row r="4" spans="1:9" ht="15" customHeight="1" thickBot="1">
      <c r="D4" s="3">
        <v>21.5</v>
      </c>
      <c r="G4" s="4">
        <v>0.2</v>
      </c>
      <c r="H4" s="4">
        <v>0.4</v>
      </c>
    </row>
    <row r="5" spans="1:9">
      <c r="C5" s="29"/>
      <c r="D5" s="73" t="s">
        <v>18</v>
      </c>
      <c r="E5" s="73"/>
      <c r="F5" s="73"/>
      <c r="G5" s="73"/>
      <c r="H5" s="73"/>
      <c r="I5" s="74"/>
    </row>
    <row r="6" spans="1:9" s="9" customFormat="1" ht="60">
      <c r="C6" s="30" t="s">
        <v>103</v>
      </c>
      <c r="D6" s="16" t="s">
        <v>2</v>
      </c>
      <c r="E6" s="17" t="s">
        <v>151</v>
      </c>
      <c r="F6" s="17" t="s">
        <v>9</v>
      </c>
      <c r="G6" s="17" t="s">
        <v>11</v>
      </c>
      <c r="H6" s="17" t="s">
        <v>105</v>
      </c>
      <c r="I6" s="24" t="s">
        <v>1</v>
      </c>
    </row>
    <row r="7" spans="1:9" s="9" customFormat="1">
      <c r="C7" s="31">
        <v>1</v>
      </c>
      <c r="D7" s="58" t="s">
        <v>19</v>
      </c>
      <c r="E7" s="59"/>
      <c r="F7" s="59">
        <v>2</v>
      </c>
      <c r="G7" s="15"/>
      <c r="H7" s="15"/>
      <c r="I7" s="34"/>
    </row>
    <row r="8" spans="1:9" s="9" customFormat="1">
      <c r="C8" s="31">
        <v>2</v>
      </c>
      <c r="D8" s="58" t="s">
        <v>157</v>
      </c>
      <c r="E8" s="59"/>
      <c r="F8" s="59"/>
      <c r="G8" s="15"/>
      <c r="H8" s="15"/>
      <c r="I8" s="35"/>
    </row>
    <row r="9" spans="1:9" s="9" customFormat="1">
      <c r="C9" s="62">
        <v>2.1</v>
      </c>
      <c r="D9" s="18" t="s">
        <v>158</v>
      </c>
      <c r="E9" s="15"/>
      <c r="F9" s="15">
        <v>1</v>
      </c>
      <c r="G9" s="15"/>
      <c r="H9" s="15"/>
      <c r="I9" s="35"/>
    </row>
    <row r="10" spans="1:9" s="9" customFormat="1">
      <c r="C10" s="62">
        <v>2.2000000000000002</v>
      </c>
      <c r="D10" s="18" t="s">
        <v>159</v>
      </c>
      <c r="E10" s="15"/>
      <c r="F10" s="61">
        <v>1</v>
      </c>
      <c r="G10" s="15"/>
      <c r="H10" s="15"/>
      <c r="I10" s="35"/>
    </row>
    <row r="11" spans="1:9" s="9" customFormat="1">
      <c r="C11" s="62">
        <v>2.2999999999999998</v>
      </c>
      <c r="D11" s="18" t="s">
        <v>161</v>
      </c>
      <c r="E11" s="15"/>
      <c r="F11" s="61">
        <v>2</v>
      </c>
      <c r="G11" s="15"/>
      <c r="H11" s="15"/>
      <c r="I11" s="35"/>
    </row>
    <row r="12" spans="1:9" s="9" customFormat="1">
      <c r="C12" s="62">
        <v>2.4</v>
      </c>
      <c r="D12" s="18" t="s">
        <v>160</v>
      </c>
      <c r="E12" s="15"/>
      <c r="F12" s="61">
        <v>1</v>
      </c>
      <c r="G12" s="15"/>
      <c r="H12" s="15"/>
      <c r="I12" s="35"/>
    </row>
    <row r="13" spans="1:9" s="9" customFormat="1">
      <c r="C13" s="62">
        <v>2.5</v>
      </c>
      <c r="D13" s="18" t="s">
        <v>168</v>
      </c>
      <c r="E13" s="15"/>
      <c r="F13" s="61">
        <v>0.5</v>
      </c>
      <c r="G13" s="15"/>
      <c r="H13" s="15"/>
      <c r="I13" s="35"/>
    </row>
    <row r="14" spans="1:9" s="9" customFormat="1">
      <c r="C14" s="31">
        <v>3</v>
      </c>
      <c r="D14" s="14" t="s">
        <v>162</v>
      </c>
      <c r="E14" s="15"/>
      <c r="F14" s="15">
        <v>2</v>
      </c>
      <c r="G14" s="15">
        <f>SUM(E14:F14)*$G$4</f>
        <v>0.4</v>
      </c>
      <c r="H14" s="15">
        <f>SUM(E14:F14)*$H$4</f>
        <v>0.8</v>
      </c>
      <c r="I14" s="34"/>
    </row>
    <row r="15" spans="1:9" s="9" customFormat="1" ht="30">
      <c r="C15" s="62">
        <v>3.1</v>
      </c>
      <c r="D15" s="18" t="s">
        <v>173</v>
      </c>
      <c r="E15" s="15"/>
      <c r="F15" s="15">
        <v>2</v>
      </c>
      <c r="G15" s="15">
        <f>SUM(E15:F15)*$G$4</f>
        <v>0.4</v>
      </c>
      <c r="H15" s="15">
        <f>SUM(E15:F15)*$H$4</f>
        <v>0.8</v>
      </c>
      <c r="I15" s="34" t="s">
        <v>156</v>
      </c>
    </row>
    <row r="16" spans="1:9" s="9" customFormat="1" ht="45">
      <c r="C16" s="66">
        <v>3.2</v>
      </c>
      <c r="D16" s="67" t="s">
        <v>176</v>
      </c>
      <c r="E16" s="65"/>
      <c r="F16" s="68">
        <v>2</v>
      </c>
      <c r="G16" s="15">
        <f>SUM(E16:F16)*$G$4</f>
        <v>0.4</v>
      </c>
      <c r="H16" s="15">
        <f>SUM(E16:F16)*$H$4</f>
        <v>0.8</v>
      </c>
      <c r="I16" s="63"/>
    </row>
    <row r="17" spans="3:9" s="9" customFormat="1">
      <c r="C17" s="66">
        <v>3.3</v>
      </c>
      <c r="D17" s="67" t="s">
        <v>177</v>
      </c>
      <c r="E17" s="65"/>
      <c r="F17" s="68">
        <v>1</v>
      </c>
      <c r="G17" s="15">
        <f>SUM(E17:F17)*$G$4</f>
        <v>0.2</v>
      </c>
      <c r="H17" s="15"/>
      <c r="I17" s="63"/>
    </row>
    <row r="18" spans="3:9" s="9" customFormat="1">
      <c r="C18" s="31">
        <v>4</v>
      </c>
      <c r="D18" s="14" t="s">
        <v>163</v>
      </c>
      <c r="E18" s="15"/>
      <c r="F18" s="15"/>
      <c r="G18" s="15"/>
      <c r="H18" s="15"/>
      <c r="I18" s="34"/>
    </row>
    <row r="19" spans="3:9" s="9" customFormat="1">
      <c r="C19" s="62">
        <v>4.0999999999999996</v>
      </c>
      <c r="D19" s="18" t="s">
        <v>164</v>
      </c>
      <c r="E19" s="15"/>
      <c r="F19" s="15">
        <v>2</v>
      </c>
      <c r="G19" s="15">
        <f t="shared" ref="G19:G28" si="0">SUM(E19:F19)*$G$4</f>
        <v>0.4</v>
      </c>
      <c r="H19" s="15">
        <f t="shared" ref="H19:H27" si="1">SUM(E19:F19)*$H$4</f>
        <v>0.8</v>
      </c>
      <c r="I19" s="34"/>
    </row>
    <row r="20" spans="3:9" s="9" customFormat="1">
      <c r="C20" s="62">
        <v>4.2</v>
      </c>
      <c r="D20" s="18" t="s">
        <v>165</v>
      </c>
      <c r="E20" s="15"/>
      <c r="F20" s="15">
        <v>1</v>
      </c>
      <c r="G20" s="15">
        <f t="shared" si="0"/>
        <v>0.2</v>
      </c>
      <c r="H20" s="15"/>
      <c r="I20" s="35"/>
    </row>
    <row r="21" spans="3:9" s="9" customFormat="1">
      <c r="C21" s="62">
        <v>4.3</v>
      </c>
      <c r="D21" s="18" t="s">
        <v>166</v>
      </c>
      <c r="E21" s="15"/>
      <c r="F21" s="15">
        <v>1</v>
      </c>
      <c r="G21" s="15">
        <f t="shared" si="0"/>
        <v>0.2</v>
      </c>
      <c r="H21" s="15">
        <f t="shared" si="1"/>
        <v>0.4</v>
      </c>
      <c r="I21" s="35"/>
    </row>
    <row r="22" spans="3:9" s="9" customFormat="1">
      <c r="C22" s="62">
        <v>4.4000000000000004</v>
      </c>
      <c r="D22" s="18" t="s">
        <v>167</v>
      </c>
      <c r="E22" s="15"/>
      <c r="F22" s="15">
        <v>3</v>
      </c>
      <c r="G22" s="15">
        <f t="shared" si="0"/>
        <v>0.60000000000000009</v>
      </c>
      <c r="H22" s="15">
        <f t="shared" si="1"/>
        <v>1.2000000000000002</v>
      </c>
      <c r="I22" s="35"/>
    </row>
    <row r="23" spans="3:9" s="9" customFormat="1">
      <c r="C23" s="31">
        <v>5</v>
      </c>
      <c r="D23" s="14" t="s">
        <v>169</v>
      </c>
      <c r="E23" s="15"/>
      <c r="F23" s="15"/>
      <c r="G23" s="15"/>
      <c r="H23" s="15"/>
      <c r="I23" s="35"/>
    </row>
    <row r="24" spans="3:9" s="9" customFormat="1">
      <c r="C24" s="62">
        <v>5.0999999999999996</v>
      </c>
      <c r="D24" s="18" t="s">
        <v>170</v>
      </c>
      <c r="E24" s="15"/>
      <c r="F24" s="15">
        <v>2</v>
      </c>
      <c r="G24" s="15">
        <f t="shared" si="0"/>
        <v>0.4</v>
      </c>
      <c r="H24" s="15">
        <f t="shared" si="1"/>
        <v>0.8</v>
      </c>
      <c r="I24" s="35"/>
    </row>
    <row r="25" spans="3:9" s="9" customFormat="1">
      <c r="C25" s="62">
        <v>5.2</v>
      </c>
      <c r="D25" s="18" t="s">
        <v>171</v>
      </c>
      <c r="E25" s="15"/>
      <c r="F25" s="15">
        <v>1</v>
      </c>
      <c r="G25" s="15">
        <f t="shared" si="0"/>
        <v>0.2</v>
      </c>
      <c r="H25" s="15"/>
      <c r="I25" s="35"/>
    </row>
    <row r="26" spans="3:9" s="9" customFormat="1">
      <c r="C26" s="62">
        <v>5.3</v>
      </c>
      <c r="D26" s="18" t="s">
        <v>172</v>
      </c>
      <c r="E26" s="15"/>
      <c r="F26" s="15">
        <v>2</v>
      </c>
      <c r="G26" s="15">
        <f t="shared" si="0"/>
        <v>0.4</v>
      </c>
      <c r="H26" s="15">
        <f t="shared" si="1"/>
        <v>0.8</v>
      </c>
      <c r="I26" s="35"/>
    </row>
    <row r="27" spans="3:9" s="9" customFormat="1" ht="17.25" customHeight="1">
      <c r="C27" s="62">
        <v>5.4</v>
      </c>
      <c r="D27" s="18" t="s">
        <v>178</v>
      </c>
      <c r="E27" s="15"/>
      <c r="F27" s="15">
        <v>4</v>
      </c>
      <c r="G27" s="15">
        <f t="shared" si="0"/>
        <v>0.8</v>
      </c>
      <c r="H27" s="15">
        <f t="shared" si="1"/>
        <v>1.6</v>
      </c>
      <c r="I27" s="35"/>
    </row>
    <row r="28" spans="3:9" s="9" customFormat="1">
      <c r="C28" s="62">
        <v>5.5</v>
      </c>
      <c r="D28" s="18" t="s">
        <v>179</v>
      </c>
      <c r="E28" s="15"/>
      <c r="F28" s="15">
        <v>3</v>
      </c>
      <c r="G28" s="15">
        <f t="shared" si="0"/>
        <v>0.60000000000000009</v>
      </c>
      <c r="H28" s="15"/>
      <c r="I28" s="35"/>
    </row>
    <row r="29" spans="3:9" s="9" customFormat="1">
      <c r="C29" s="31">
        <v>6</v>
      </c>
      <c r="D29" s="18" t="s">
        <v>180</v>
      </c>
      <c r="E29" s="15"/>
      <c r="F29" s="15"/>
      <c r="G29" s="15"/>
      <c r="H29" s="15"/>
      <c r="I29" s="35"/>
    </row>
    <row r="30" spans="3:9" s="9" customFormat="1" ht="30">
      <c r="C30" s="62">
        <v>6.1</v>
      </c>
      <c r="D30" s="18" t="s">
        <v>192</v>
      </c>
      <c r="E30" s="15"/>
      <c r="F30" s="15">
        <v>3</v>
      </c>
      <c r="G30" s="15">
        <f>SUM(E30:F30)*$G$4</f>
        <v>0.60000000000000009</v>
      </c>
      <c r="H30" s="15"/>
      <c r="I30" s="35"/>
    </row>
    <row r="31" spans="3:9" s="9" customFormat="1">
      <c r="C31" s="62">
        <v>6.2</v>
      </c>
      <c r="D31" s="18" t="s">
        <v>181</v>
      </c>
      <c r="E31" s="15"/>
      <c r="F31" s="15">
        <v>1</v>
      </c>
      <c r="G31" s="15">
        <f>SUM(E31:F31)*$G$4</f>
        <v>0.2</v>
      </c>
      <c r="H31" s="15"/>
      <c r="I31" s="35"/>
    </row>
    <row r="32" spans="3:9" s="9" customFormat="1">
      <c r="C32" s="62">
        <v>6.3</v>
      </c>
      <c r="D32" s="18" t="s">
        <v>182</v>
      </c>
      <c r="E32" s="15"/>
      <c r="F32" s="15"/>
      <c r="G32" s="15"/>
      <c r="H32" s="15"/>
      <c r="I32" s="35"/>
    </row>
    <row r="33" spans="2:9" s="9" customFormat="1" ht="30">
      <c r="C33" s="69" t="s">
        <v>184</v>
      </c>
      <c r="D33" s="19" t="s">
        <v>183</v>
      </c>
      <c r="E33" s="15"/>
      <c r="F33" s="15">
        <v>3</v>
      </c>
      <c r="G33" s="15">
        <f>SUM(E33:F33)*$G$4</f>
        <v>0.60000000000000009</v>
      </c>
      <c r="H33" s="15">
        <f>SUM(E33:F33)*$H$4</f>
        <v>1.2000000000000002</v>
      </c>
      <c r="I33" s="35"/>
    </row>
    <row r="34" spans="2:9" s="9" customFormat="1" ht="90">
      <c r="C34" s="71" t="s">
        <v>191</v>
      </c>
      <c r="D34" s="64" t="s">
        <v>175</v>
      </c>
      <c r="E34" s="65"/>
      <c r="F34" s="65">
        <v>1</v>
      </c>
      <c r="G34" s="65">
        <f>SUM(E34:F34)*$G$4</f>
        <v>0.2</v>
      </c>
      <c r="H34" s="65"/>
      <c r="I34" s="63" t="s">
        <v>174</v>
      </c>
    </row>
    <row r="35" spans="2:9" s="9" customFormat="1">
      <c r="C35" s="62"/>
      <c r="D35" s="18"/>
      <c r="E35" s="15"/>
      <c r="F35" s="15"/>
      <c r="G35" s="15"/>
      <c r="H35" s="15"/>
      <c r="I35" s="35"/>
    </row>
    <row r="36" spans="2:9">
      <c r="C36" s="32"/>
      <c r="D36" s="21" t="s">
        <v>7</v>
      </c>
      <c r="E36" s="5"/>
      <c r="F36" s="5">
        <f>SUM(F7:F34)</f>
        <v>41.5</v>
      </c>
      <c r="G36" s="5">
        <f>SUM(G7:G34)</f>
        <v>6.8000000000000016</v>
      </c>
      <c r="H36" s="5">
        <f>SUM(H7:H34)</f>
        <v>9.1999999999999993</v>
      </c>
      <c r="I36" s="36"/>
    </row>
    <row r="37" spans="2:9">
      <c r="C37" s="32"/>
      <c r="D37" s="22"/>
      <c r="E37" s="5"/>
      <c r="F37" s="5"/>
      <c r="G37" s="5"/>
      <c r="H37" s="5"/>
      <c r="I37" s="36"/>
    </row>
    <row r="38" spans="2:9">
      <c r="C38" s="32">
        <v>7</v>
      </c>
      <c r="D38" s="20" t="s">
        <v>131</v>
      </c>
      <c r="E38" s="5"/>
      <c r="F38" s="5"/>
      <c r="G38" s="5"/>
      <c r="H38" s="5"/>
      <c r="I38" s="36"/>
    </row>
    <row r="39" spans="2:9">
      <c r="C39" s="32"/>
      <c r="D39" s="18" t="s">
        <v>106</v>
      </c>
      <c r="E39" s="5"/>
      <c r="F39" s="5">
        <f>F36</f>
        <v>41.5</v>
      </c>
      <c r="G39" s="5">
        <f>G36</f>
        <v>6.8000000000000016</v>
      </c>
      <c r="H39" s="5">
        <f>H36</f>
        <v>9.1999999999999993</v>
      </c>
      <c r="I39" s="36"/>
    </row>
    <row r="40" spans="2:9">
      <c r="C40" s="32"/>
      <c r="D40" s="20"/>
      <c r="E40" s="5"/>
      <c r="F40" s="5"/>
      <c r="G40" s="5"/>
      <c r="H40" s="5"/>
      <c r="I40" s="11"/>
    </row>
    <row r="41" spans="2:9">
      <c r="C41" s="32"/>
      <c r="D41" s="20"/>
      <c r="E41" s="5"/>
      <c r="F41" s="5"/>
      <c r="G41" s="5"/>
      <c r="H41" s="5"/>
      <c r="I41" s="11"/>
    </row>
    <row r="42" spans="2:9">
      <c r="C42" s="32"/>
      <c r="D42" s="20" t="s">
        <v>126</v>
      </c>
      <c r="E42" s="5"/>
      <c r="F42" s="5">
        <f>SUM(F39:I40)</f>
        <v>57.5</v>
      </c>
      <c r="G42" s="5"/>
      <c r="H42" s="5"/>
      <c r="I42" s="11"/>
    </row>
    <row r="43" spans="2:9">
      <c r="C43" s="32"/>
      <c r="D43" s="20"/>
      <c r="E43" s="5"/>
      <c r="F43" s="5"/>
      <c r="G43" s="5"/>
      <c r="H43" s="5"/>
      <c r="I43" s="11"/>
    </row>
    <row r="44" spans="2:9">
      <c r="B44" s="8">
        <v>0.2</v>
      </c>
      <c r="C44" s="32">
        <v>8</v>
      </c>
      <c r="D44" s="20" t="s">
        <v>10</v>
      </c>
      <c r="E44" s="5"/>
      <c r="F44" s="5">
        <f>F42*B44</f>
        <v>11.5</v>
      </c>
      <c r="G44" s="5"/>
      <c r="H44" s="5"/>
      <c r="I44" s="11"/>
    </row>
    <row r="45" spans="2:9">
      <c r="C45" s="32"/>
      <c r="D45" s="18"/>
      <c r="E45" s="5"/>
      <c r="F45" s="5"/>
      <c r="G45" s="5"/>
      <c r="H45" s="5"/>
      <c r="I45" s="11"/>
    </row>
    <row r="46" spans="2:9">
      <c r="C46" s="32">
        <v>9</v>
      </c>
      <c r="D46" s="20" t="s">
        <v>150</v>
      </c>
      <c r="F46" s="6">
        <v>5</v>
      </c>
      <c r="G46" s="5"/>
      <c r="H46" s="5"/>
      <c r="I46" s="11"/>
    </row>
    <row r="47" spans="2:9">
      <c r="C47" s="32">
        <v>10</v>
      </c>
      <c r="D47" s="20" t="s">
        <v>152</v>
      </c>
      <c r="F47" s="6">
        <v>2</v>
      </c>
      <c r="G47" s="5"/>
      <c r="H47" s="5"/>
      <c r="I47" s="11"/>
    </row>
    <row r="48" spans="2:9">
      <c r="C48" s="32"/>
      <c r="D48" s="20"/>
      <c r="E48" s="6"/>
      <c r="F48" s="5"/>
      <c r="G48" s="5"/>
      <c r="H48" s="5"/>
      <c r="I48" s="11"/>
    </row>
    <row r="49" spans="3:9">
      <c r="C49" s="32">
        <v>11</v>
      </c>
      <c r="D49" s="22" t="s">
        <v>6</v>
      </c>
      <c r="E49" s="5"/>
      <c r="F49" s="5">
        <f>SUM(F42:F48)*I49</f>
        <v>6.08</v>
      </c>
      <c r="G49" s="5"/>
      <c r="H49" s="5"/>
      <c r="I49" s="11">
        <v>0.08</v>
      </c>
    </row>
    <row r="50" spans="3:9">
      <c r="C50" s="32">
        <v>12</v>
      </c>
      <c r="D50" s="23" t="s">
        <v>5</v>
      </c>
      <c r="E50" s="12"/>
      <c r="F50" s="12">
        <f>SUM(F42:F48)*I50</f>
        <v>7.6000000000000005</v>
      </c>
      <c r="G50" s="5"/>
      <c r="H50" s="5"/>
      <c r="I50" s="57">
        <v>0.1</v>
      </c>
    </row>
    <row r="51" spans="3:9">
      <c r="C51" s="75">
        <v>13</v>
      </c>
      <c r="D51" s="77" t="s">
        <v>4</v>
      </c>
      <c r="E51" s="5"/>
      <c r="F51" s="6">
        <f>SUM(F42:F50)</f>
        <v>89.679999999999993</v>
      </c>
      <c r="G51" s="5"/>
      <c r="H51" s="5"/>
      <c r="I51" s="60" t="s">
        <v>3</v>
      </c>
    </row>
    <row r="52" spans="3:9" ht="15.75" thickBot="1">
      <c r="C52" s="76"/>
      <c r="D52" s="78"/>
      <c r="E52" s="7"/>
      <c r="F52" s="7">
        <f>F51/D4</f>
        <v>4.1711627906976743</v>
      </c>
      <c r="G52" s="7"/>
      <c r="H52" s="7"/>
      <c r="I52" s="10" t="s">
        <v>0</v>
      </c>
    </row>
    <row r="54" spans="3:9" s="1" customFormat="1">
      <c r="C54" s="28"/>
      <c r="E54" s="4"/>
      <c r="F54" s="4"/>
      <c r="G54" s="4"/>
      <c r="H54" s="4"/>
    </row>
    <row r="55" spans="3:9" s="1" customFormat="1">
      <c r="C55" s="28"/>
      <c r="E55" s="4"/>
      <c r="F55" s="4"/>
      <c r="G55" s="4"/>
      <c r="H55" s="4"/>
    </row>
    <row r="56" spans="3:9" s="1" customFormat="1">
      <c r="C56" s="28"/>
      <c r="E56" s="4"/>
      <c r="F56" s="4"/>
      <c r="G56" s="4"/>
      <c r="H56" s="4"/>
    </row>
    <row r="57" spans="3:9" s="1" customFormat="1">
      <c r="C57" s="28"/>
      <c r="E57" s="4"/>
      <c r="F57" s="4"/>
      <c r="G57" s="4"/>
      <c r="H57" s="4"/>
    </row>
    <row r="58" spans="3:9" s="1" customFormat="1">
      <c r="C58" s="28"/>
      <c r="E58" s="4"/>
      <c r="F58" s="4"/>
      <c r="G58" s="4"/>
      <c r="H58" s="4"/>
    </row>
    <row r="59" spans="3:9" s="1" customFormat="1">
      <c r="C59" s="79" t="s">
        <v>13</v>
      </c>
      <c r="D59" s="80"/>
      <c r="E59" s="80"/>
      <c r="F59" s="81"/>
      <c r="G59" s="4"/>
      <c r="H59" s="4"/>
    </row>
    <row r="60" spans="3:9" s="1" customFormat="1" ht="18" customHeight="1">
      <c r="C60" s="70">
        <v>1</v>
      </c>
      <c r="D60" s="82" t="s">
        <v>155</v>
      </c>
      <c r="E60" s="83"/>
      <c r="F60" s="84"/>
      <c r="G60" s="4"/>
      <c r="H60" s="4"/>
    </row>
    <row r="61" spans="3:9" s="1" customFormat="1" ht="15" customHeight="1">
      <c r="C61" s="70">
        <v>2</v>
      </c>
      <c r="D61" s="72" t="s">
        <v>186</v>
      </c>
      <c r="E61" s="72"/>
      <c r="F61" s="72"/>
      <c r="G61" s="4"/>
      <c r="H61" s="4"/>
    </row>
    <row r="62" spans="3:9" s="1" customFormat="1" ht="15" customHeight="1">
      <c r="C62" s="70">
        <v>3</v>
      </c>
      <c r="D62" s="72" t="s">
        <v>187</v>
      </c>
      <c r="E62" s="72"/>
      <c r="F62" s="72"/>
      <c r="G62" s="4"/>
      <c r="H62" s="4"/>
    </row>
    <row r="63" spans="3:9" s="1" customFormat="1" ht="42" customHeight="1">
      <c r="C63" s="70">
        <v>4</v>
      </c>
      <c r="D63" s="72" t="s">
        <v>188</v>
      </c>
      <c r="E63" s="72"/>
      <c r="F63" s="72"/>
      <c r="G63" s="4"/>
      <c r="H63" s="4"/>
    </row>
    <row r="64" spans="3:9" s="1" customFormat="1" ht="15" customHeight="1">
      <c r="C64" s="70">
        <v>5</v>
      </c>
      <c r="D64" s="72" t="s">
        <v>190</v>
      </c>
      <c r="E64" s="72"/>
      <c r="F64" s="72"/>
      <c r="G64" s="4"/>
      <c r="H64" s="4"/>
    </row>
    <row r="65" spans="3:8" s="1" customFormat="1" ht="15" customHeight="1">
      <c r="C65" s="70">
        <v>6</v>
      </c>
      <c r="D65" s="72" t="s">
        <v>194</v>
      </c>
      <c r="E65" s="72"/>
      <c r="F65" s="72"/>
      <c r="G65" s="4"/>
      <c r="H65" s="4"/>
    </row>
    <row r="66" spans="3:8">
      <c r="C66" s="70">
        <v>7</v>
      </c>
      <c r="D66" s="72" t="s">
        <v>193</v>
      </c>
      <c r="E66" s="72"/>
      <c r="F66" s="72"/>
    </row>
    <row r="67" spans="3:8">
      <c r="C67" s="70">
        <v>8</v>
      </c>
      <c r="D67" s="72" t="s">
        <v>189</v>
      </c>
      <c r="E67" s="72"/>
      <c r="F67" s="72"/>
    </row>
  </sheetData>
  <mergeCells count="12">
    <mergeCell ref="D5:I5"/>
    <mergeCell ref="C51:C52"/>
    <mergeCell ref="D51:D52"/>
    <mergeCell ref="C59:F59"/>
    <mergeCell ref="D60:F60"/>
    <mergeCell ref="D61:F61"/>
    <mergeCell ref="D64:F64"/>
    <mergeCell ref="D67:F67"/>
    <mergeCell ref="D65:F65"/>
    <mergeCell ref="D66:F66"/>
    <mergeCell ref="D62:F62"/>
    <mergeCell ref="D63:F63"/>
  </mergeCells>
  <phoneticPr fontId="7"/>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dimension ref="A1:J15"/>
  <sheetViews>
    <sheetView tabSelected="1" workbookViewId="0">
      <selection activeCell="F24" sqref="F24"/>
    </sheetView>
  </sheetViews>
  <sheetFormatPr defaultRowHeight="15"/>
  <cols>
    <col min="1" max="1" width="20.42578125" bestFit="1" customWidth="1"/>
    <col min="3" max="3" width="11.7109375" hidden="1" customWidth="1"/>
    <col min="7" max="7" width="14.7109375" customWidth="1"/>
  </cols>
  <sheetData>
    <row r="1" spans="1:10" s="43" customFormat="1" ht="15" customHeight="1">
      <c r="A1" s="85" t="s">
        <v>185</v>
      </c>
      <c r="B1" s="85"/>
      <c r="C1" s="85"/>
      <c r="D1" s="85"/>
      <c r="E1" s="85"/>
      <c r="F1" s="86"/>
      <c r="G1" s="86"/>
    </row>
    <row r="2" spans="1:10" s="43" customFormat="1" ht="15" customHeight="1">
      <c r="A2" s="87"/>
      <c r="B2" s="87"/>
      <c r="C2" s="87"/>
      <c r="D2" s="87"/>
      <c r="E2" s="87"/>
      <c r="F2" s="44"/>
    </row>
    <row r="3" spans="1:10" s="43" customFormat="1" ht="15.75" thickBot="1">
      <c r="A3" s="8"/>
      <c r="B3" s="44"/>
      <c r="C3" s="44"/>
      <c r="D3" s="44"/>
      <c r="E3" s="44"/>
      <c r="F3" s="44"/>
    </row>
    <row r="4" spans="1:10" s="43" customFormat="1">
      <c r="A4" s="88"/>
      <c r="B4" s="89"/>
      <c r="C4" s="89"/>
      <c r="D4" s="89"/>
      <c r="E4" s="89"/>
      <c r="F4" s="90"/>
    </row>
    <row r="5" spans="1:10" s="43" customFormat="1">
      <c r="A5" s="45" t="s">
        <v>133</v>
      </c>
      <c r="B5" s="46" t="s">
        <v>134</v>
      </c>
      <c r="C5" s="47"/>
      <c r="D5" s="46" t="s">
        <v>53</v>
      </c>
      <c r="E5" s="46" t="s">
        <v>153</v>
      </c>
      <c r="F5" s="48"/>
    </row>
    <row r="6" spans="1:10" s="43" customFormat="1">
      <c r="A6" s="49" t="s">
        <v>77</v>
      </c>
      <c r="B6" s="50" t="s">
        <v>135</v>
      </c>
      <c r="C6" s="47"/>
      <c r="E6" s="47"/>
      <c r="F6" s="51">
        <f t="shared" ref="F6:F12" si="0">SUM(D6:E6)</f>
        <v>0</v>
      </c>
      <c r="H6" s="8"/>
    </row>
    <row r="7" spans="1:10" s="43" customFormat="1">
      <c r="A7" s="25" t="s">
        <v>78</v>
      </c>
      <c r="B7" s="47" t="s">
        <v>136</v>
      </c>
      <c r="C7" s="47"/>
      <c r="D7" s="47">
        <v>0.5</v>
      </c>
      <c r="E7" s="47"/>
      <c r="F7" s="51">
        <f t="shared" si="0"/>
        <v>0.5</v>
      </c>
      <c r="I7" s="27" t="s">
        <v>137</v>
      </c>
      <c r="J7" s="44">
        <f>SUMIF(B6:B14,"B",F6:F14)</f>
        <v>1.5</v>
      </c>
    </row>
    <row r="8" spans="1:10" s="43" customFormat="1">
      <c r="A8" s="49" t="s">
        <v>138</v>
      </c>
      <c r="B8" s="47" t="s">
        <v>135</v>
      </c>
      <c r="C8" s="47" t="s">
        <v>139</v>
      </c>
      <c r="D8" s="47"/>
      <c r="E8" s="47"/>
      <c r="F8" s="51">
        <f t="shared" si="0"/>
        <v>0</v>
      </c>
      <c r="I8" s="27" t="s">
        <v>135</v>
      </c>
      <c r="J8" s="44">
        <f>SUMIF(B6:B15,"C",F6:F15)</f>
        <v>2</v>
      </c>
    </row>
    <row r="9" spans="1:10" s="43" customFormat="1">
      <c r="A9" s="25" t="s">
        <v>144</v>
      </c>
      <c r="B9" s="47" t="s">
        <v>135</v>
      </c>
      <c r="C9" s="47"/>
      <c r="D9" s="47">
        <v>0.5</v>
      </c>
      <c r="E9" s="47">
        <v>1</v>
      </c>
      <c r="F9" s="51">
        <f t="shared" si="0"/>
        <v>1.5</v>
      </c>
      <c r="I9" s="27" t="s">
        <v>136</v>
      </c>
      <c r="J9" s="44">
        <f>SUMIF(B6:B15,"D",F6:F15)</f>
        <v>0.8</v>
      </c>
    </row>
    <row r="10" spans="1:10" s="43" customFormat="1">
      <c r="A10" s="25" t="s">
        <v>145</v>
      </c>
      <c r="B10" s="47" t="s">
        <v>137</v>
      </c>
      <c r="C10" s="47" t="s">
        <v>140</v>
      </c>
      <c r="D10" s="47">
        <v>0.5</v>
      </c>
      <c r="E10" s="47">
        <v>1</v>
      </c>
      <c r="F10" s="51">
        <f t="shared" si="0"/>
        <v>1.5</v>
      </c>
      <c r="H10" s="44"/>
      <c r="I10" s="44"/>
      <c r="J10" s="44"/>
    </row>
    <row r="11" spans="1:10" s="43" customFormat="1">
      <c r="A11" s="49" t="s">
        <v>42</v>
      </c>
      <c r="B11" s="47" t="s">
        <v>135</v>
      </c>
      <c r="C11" s="47"/>
      <c r="D11" s="47"/>
      <c r="E11" s="47">
        <v>0.5</v>
      </c>
      <c r="F11" s="51">
        <f t="shared" si="0"/>
        <v>0.5</v>
      </c>
      <c r="H11" s="44"/>
      <c r="I11" s="44"/>
      <c r="J11" s="44"/>
    </row>
    <row r="12" spans="1:10" s="43" customFormat="1">
      <c r="A12" s="49" t="s">
        <v>39</v>
      </c>
      <c r="B12" s="47" t="s">
        <v>137</v>
      </c>
      <c r="C12" s="47" t="s">
        <v>141</v>
      </c>
      <c r="D12" s="47"/>
      <c r="E12" s="47"/>
      <c r="F12" s="51">
        <f t="shared" si="0"/>
        <v>0</v>
      </c>
    </row>
    <row r="13" spans="1:10" s="43" customFormat="1">
      <c r="A13" s="25"/>
      <c r="B13" s="50"/>
      <c r="C13" s="47"/>
      <c r="D13" s="47"/>
      <c r="E13" s="47"/>
      <c r="F13" s="51"/>
    </row>
    <row r="14" spans="1:10" s="43" customFormat="1">
      <c r="A14" s="52" t="s">
        <v>14</v>
      </c>
      <c r="B14" s="50" t="s">
        <v>136</v>
      </c>
      <c r="C14" s="50" t="s">
        <v>14</v>
      </c>
      <c r="D14" s="50">
        <v>0.2</v>
      </c>
      <c r="E14" s="50">
        <v>0.1</v>
      </c>
      <c r="F14" s="53">
        <f>SUM(D14:E14)</f>
        <v>0.30000000000000004</v>
      </c>
    </row>
    <row r="15" spans="1:10" s="43" customFormat="1" ht="15.75" thickBot="1">
      <c r="A15" s="54"/>
      <c r="B15" s="55"/>
      <c r="C15" s="55"/>
      <c r="D15" s="55"/>
      <c r="E15" s="55"/>
      <c r="F15" s="56">
        <f>SUM(F6:F14)</f>
        <v>4.3</v>
      </c>
    </row>
  </sheetData>
  <mergeCells count="4">
    <mergeCell ref="A1:E1"/>
    <mergeCell ref="F1:G1"/>
    <mergeCell ref="A2:E2"/>
    <mergeCell ref="A4:F4"/>
  </mergeCells>
  <phoneticPr fontId="7"/>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dimension ref="A6:F6"/>
  <sheetViews>
    <sheetView workbookViewId="0">
      <selection activeCell="E13" sqref="E13"/>
    </sheetView>
  </sheetViews>
  <sheetFormatPr defaultRowHeight="15"/>
  <cols>
    <col min="2" max="2" width="31.85546875" bestFit="1" customWidth="1"/>
    <col min="4" max="4" width="13.140625" customWidth="1"/>
    <col min="5" max="5" width="53" customWidth="1"/>
  </cols>
  <sheetData>
    <row r="6" spans="1:6" s="2" customFormat="1">
      <c r="A6"/>
      <c r="B6"/>
      <c r="C6"/>
      <c r="D6"/>
      <c r="E6"/>
      <c r="F6"/>
    </row>
  </sheetData>
  <phoneticPr fontId="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Effort -backup</vt:lpstr>
      <vt:lpstr>ResLoad-wrk</vt:lpstr>
      <vt:lpstr>Effort-Phase 1</vt:lpstr>
      <vt:lpstr>ResourceLoading-Phase1</vt:lpstr>
      <vt:lpstr>Additional costs</vt:lpstr>
    </vt:vector>
  </TitlesOfParts>
  <Company>Sonata</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cedi</dc:creator>
  <cp:lastModifiedBy>prasad.cm</cp:lastModifiedBy>
  <dcterms:created xsi:type="dcterms:W3CDTF">2011-10-24T08:15:31Z</dcterms:created>
  <dcterms:modified xsi:type="dcterms:W3CDTF">2014-01-03T11:27:17Z</dcterms:modified>
</cp:coreProperties>
</file>